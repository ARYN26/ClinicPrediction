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05" windowHeight="6390" activeTab="3"/>
  </bookViews>
  <sheets>
    <sheet name="TOTAL " sheetId="2" r:id="rId1"/>
    <sheet name="COMPARISON" sheetId="4" r:id="rId2"/>
    <sheet name="PATIENT COUNT YEAR WISE" sheetId="3" r:id="rId3"/>
    <sheet name="COMBINED" sheetId="5" r:id="rId4"/>
    <sheet name="FINAL " sheetId="6" r:id="rId5"/>
    <sheet name="DENTAL" sheetId="7" r:id="rId6"/>
    <sheet name="CASH COMPARISON" sheetId="8" r:id="rId7"/>
    <sheet name="Sheet2" sheetId="9" r:id="rId8"/>
    <sheet name="Sheet1" sheetId="10" r:id="rId9"/>
  </sheets>
  <definedNames>
    <definedName name="_xlnm.Print_Area" localSheetId="3">COMBINED!$A$1:$Q$66</definedName>
    <definedName name="_xlnm.Print_Area" localSheetId="1">COMPARISON!$A$1:$U$21</definedName>
    <definedName name="_xlnm.Print_Area" localSheetId="4">'FINAL '!$A$1:$H$50</definedName>
    <definedName name="_xlnm.Print_Area" localSheetId="2">'PATIENT COUNT YEAR WISE'!$A$1:$E$45</definedName>
    <definedName name="_xlnm.Print_Area" localSheetId="7">Sheet2!$A$1:$G$14</definedName>
    <definedName name="_xlnm.Print_Area" localSheetId="0">'TOTAL '!$A$1:$Q$36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<sst xmlns="http://schemas.openxmlformats.org/spreadsheetml/2006/main" count="195" uniqueCount="48">
  <si>
    <t>YEAR</t>
  </si>
  <si>
    <t>GP</t>
  </si>
  <si>
    <t>INTERNAL MEDICINE</t>
  </si>
  <si>
    <t>DENTAL</t>
  </si>
  <si>
    <t>GP+DENTAL+IM</t>
  </si>
  <si>
    <t>PCR PATIENT COUNT</t>
  </si>
  <si>
    <t>PCR CASH</t>
  </si>
  <si>
    <t>FINAL REVENUE</t>
  </si>
  <si>
    <t>PATIENTS COUNT</t>
  </si>
  <si>
    <t>INSURANCE MONEY</t>
  </si>
  <si>
    <t>CASH</t>
  </si>
  <si>
    <t>TOTAL PATIENTS</t>
  </si>
  <si>
    <t>TOTAL REVENUE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</si>
  <si>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</si>
  <si>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</si>
  <si>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</si>
  <si>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</si>
  <si>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</si>
  <si>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</si>
  <si>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</si>
  <si>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</si>
  <si>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</si>
  <si>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</si>
  <si>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</si>
  <si>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</si>
  <si>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AUGUST</t>
  </si>
  <si>
    <t>SEPTEMBER</t>
  </si>
  <si>
    <t>OCTOBER</t>
  </si>
  <si>
    <t>NOVEMBER</t>
  </si>
  <si>
    <t>DECEMBER</t>
  </si>
  <si>
    <t>MAR</t>
  </si>
  <si>
    <t>APR</t>
  </si>
  <si>
    <t>NO PCR</t>
  </si>
  <si>
    <t>GP- DR TOUQEER</t>
  </si>
  <si>
    <t>GP- DR.FARRUKH</t>
  </si>
  <si>
    <t>Jan-23</t>
  </si>
  <si>
    <t>May-23</t>
  </si>
  <si>
    <t>Jan-24</t>
  </si>
  <si>
    <t>Jan-25</t>
  </si>
  <si>
    <t>s</t>
  </si>
  <si>
    <t>GP+IM+DENTAL</t>
  </si>
  <si>
    <t>REVENUE</t>
  </si>
  <si>
    <t>TOTAL</t>
  </si>
  <si>
    <t>TOTAL CASH</t>
  </si>
  <si>
    <t>MONTH</t>
  </si>
  <si>
    <t xml:space="preserve">JAN 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</si>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</sst>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40">
    <font>
      <sz val="11"/>
      <color theme="1"/>
      <name val="Calibri"/>
      <charset val="1"/>
      <scheme val="minor"/>
    </font>
    <font>
      <sz val="15"/>
      <color theme="1"/>
      <name val="Calibri"/>
      <charset val="1"/>
      <scheme val="minor"/>
    </font>
    <font>
      <b/>
      <sz val="15"/>
      <color theme="1"/>
      <name val="Calibri"/>
      <charset val="1"/>
      <scheme val="minor"/>
    </font>
    <font>
      <b/>
      <sz val="15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sz val="14"/>
      <color theme="1"/>
      <name val="Calibri"/>
      <charset val="1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3"/>
      <color theme="1"/>
      <name val="Calibri"/>
      <charset val="1"/>
      <scheme val="minor"/>
    </font>
    <font>
      <sz val="13"/>
      <color theme="1"/>
      <name val="Calibri"/>
      <charset val="134"/>
      <scheme val="minor"/>
    </font>
    <font>
      <b/>
      <sz val="13"/>
      <color theme="1"/>
      <name val="Calibri"/>
      <charset val="1"/>
      <scheme val="minor"/>
    </font>
    <font>
      <b/>
      <sz val="12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6" borderId="7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8" applyNumberFormat="0" applyFill="0" applyAlignment="0" applyProtection="0">
      <alignment vertical="center"/>
    </xf>
    <xf numFmtId="0" fontId="27" fillId="0" borderId="78" applyNumberFormat="0" applyFill="0" applyAlignment="0" applyProtection="0">
      <alignment vertical="center"/>
    </xf>
    <xf numFmtId="0" fontId="28" fillId="0" borderId="7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7" borderId="80" applyNumberFormat="0" applyAlignment="0" applyProtection="0">
      <alignment vertical="center"/>
    </xf>
    <xf numFmtId="0" fontId="30" fillId="18" borderId="81" applyNumberFormat="0" applyAlignment="0" applyProtection="0">
      <alignment vertical="center"/>
    </xf>
    <xf numFmtId="0" fontId="31" fillId="18" borderId="80" applyNumberFormat="0" applyAlignment="0" applyProtection="0">
      <alignment vertical="center"/>
    </xf>
    <xf numFmtId="0" fontId="32" fillId="19" borderId="82" applyNumberFormat="0" applyAlignment="0" applyProtection="0">
      <alignment vertical="center"/>
    </xf>
    <xf numFmtId="0" fontId="33" fillId="0" borderId="83" applyNumberFormat="0" applyFill="0" applyAlignment="0" applyProtection="0">
      <alignment vertical="center"/>
    </xf>
    <xf numFmtId="0" fontId="34" fillId="0" borderId="84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</cellStyleXfs>
  <cellXfs count="838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1" fontId="6" fillId="7" borderId="23" xfId="0" applyNumberFormat="1" applyFont="1" applyFill="1" applyBorder="1" applyAlignment="1">
      <alignment horizontal="center" vertical="center"/>
    </xf>
    <xf numFmtId="1" fontId="6" fillId="7" borderId="24" xfId="0" applyNumberFormat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17" fontId="5" fillId="0" borderId="26" xfId="0" applyNumberFormat="1" applyFont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1" fontId="6" fillId="7" borderId="28" xfId="0" applyNumberFormat="1" applyFont="1" applyFill="1" applyBorder="1" applyAlignment="1">
      <alignment horizontal="center" vertical="center"/>
    </xf>
    <xf numFmtId="1" fontId="6" fillId="7" borderId="29" xfId="0" applyNumberFormat="1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7" fillId="7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34" xfId="0" applyFont="1" applyBorder="1"/>
    <xf numFmtId="0" fontId="5" fillId="0" borderId="19" xfId="0" applyFont="1" applyBorder="1"/>
    <xf numFmtId="0" fontId="6" fillId="0" borderId="0" xfId="0" applyFont="1"/>
    <xf numFmtId="0" fontId="6" fillId="0" borderId="35" xfId="0" applyFont="1" applyBorder="1"/>
    <xf numFmtId="0" fontId="5" fillId="2" borderId="1" xfId="0" applyFont="1" applyFill="1" applyBorder="1" applyAlignment="1">
      <alignment horizontal="center" vertical="center"/>
    </xf>
    <xf numFmtId="17" fontId="5" fillId="0" borderId="30" xfId="0" applyNumberFormat="1" applyFont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1" fontId="6" fillId="0" borderId="0" xfId="0" applyNumberFormat="1" applyFont="1"/>
    <xf numFmtId="17" fontId="5" fillId="0" borderId="37" xfId="0" applyNumberFormat="1" applyFont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1" fontId="6" fillId="7" borderId="40" xfId="0" applyNumberFormat="1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1" fontId="5" fillId="6" borderId="8" xfId="0" applyNumberFormat="1" applyFont="1" applyFill="1" applyBorder="1" applyAlignment="1">
      <alignment horizontal="center" vertical="center"/>
    </xf>
    <xf numFmtId="1" fontId="5" fillId="6" borderId="37" xfId="0" applyNumberFormat="1" applyFont="1" applyFill="1" applyBorder="1" applyAlignment="1">
      <alignment horizontal="center" vertical="center"/>
    </xf>
    <xf numFmtId="1" fontId="6" fillId="7" borderId="41" xfId="0" applyNumberFormat="1" applyFont="1" applyFill="1" applyBorder="1" applyAlignment="1">
      <alignment horizontal="center" vertical="center"/>
    </xf>
    <xf numFmtId="1" fontId="6" fillId="7" borderId="33" xfId="0" applyNumberFormat="1" applyFont="1" applyFill="1" applyBorder="1" applyAlignment="1">
      <alignment horizontal="center" vertical="center"/>
    </xf>
    <xf numFmtId="0" fontId="6" fillId="0" borderId="11" xfId="0" applyFont="1" applyBorder="1"/>
    <xf numFmtId="0" fontId="6" fillId="0" borderId="6" xfId="0" applyFont="1" applyBorder="1"/>
    <xf numFmtId="0" fontId="5" fillId="0" borderId="11" xfId="0" applyFont="1" applyBorder="1"/>
    <xf numFmtId="0" fontId="6" fillId="0" borderId="5" xfId="0" applyFont="1" applyBorder="1"/>
    <xf numFmtId="0" fontId="6" fillId="0" borderId="7" xfId="0" applyFont="1" applyBorder="1"/>
    <xf numFmtId="0" fontId="5" fillId="2" borderId="12" xfId="0" applyFont="1" applyFill="1" applyBorder="1" applyAlignment="1">
      <alignment horizontal="center" vertical="center"/>
    </xf>
    <xf numFmtId="178" fontId="6" fillId="7" borderId="2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" fontId="6" fillId="0" borderId="35" xfId="0" applyNumberFormat="1" applyFont="1" applyBorder="1"/>
    <xf numFmtId="0" fontId="8" fillId="0" borderId="0" xfId="0" applyFont="1"/>
    <xf numFmtId="0" fontId="8" fillId="0" borderId="35" xfId="0" applyFont="1" applyBorder="1"/>
    <xf numFmtId="1" fontId="7" fillId="7" borderId="24" xfId="0" applyNumberFormat="1" applyFont="1" applyFill="1" applyBorder="1" applyAlignment="1">
      <alignment horizontal="center" vertical="center"/>
    </xf>
    <xf numFmtId="17" fontId="5" fillId="0" borderId="19" xfId="0" applyNumberFormat="1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1" fontId="7" fillId="7" borderId="40" xfId="0" applyNumberFormat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1" fontId="7" fillId="7" borderId="35" xfId="0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4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5" xfId="0" applyBorder="1" applyAlignment="1">
      <alignment vertical="center"/>
    </xf>
    <xf numFmtId="1" fontId="7" fillId="7" borderId="23" xfId="0" applyNumberFormat="1" applyFont="1" applyFill="1" applyBorder="1" applyAlignment="1">
      <alignment horizontal="center" vertical="center"/>
    </xf>
    <xf numFmtId="1" fontId="7" fillId="7" borderId="28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7" fillId="7" borderId="32" xfId="0" applyNumberFormat="1" applyFont="1" applyFill="1" applyBorder="1" applyAlignment="1">
      <alignment horizontal="center" vertical="center"/>
    </xf>
    <xf numFmtId="1" fontId="7" fillId="7" borderId="33" xfId="0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1" fontId="11" fillId="7" borderId="23" xfId="0" applyNumberFormat="1" applyFont="1" applyFill="1" applyBorder="1" applyAlignment="1">
      <alignment horizontal="center" vertical="center"/>
    </xf>
    <xf numFmtId="1" fontId="11" fillId="7" borderId="24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" fontId="4" fillId="0" borderId="37" xfId="0" applyNumberFormat="1" applyFont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11" fillId="7" borderId="29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17" fontId="4" fillId="0" borderId="28" xfId="0" applyNumberFormat="1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1" fillId="7" borderId="32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40" xfId="0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1" fontId="6" fillId="7" borderId="46" xfId="0" applyNumberFormat="1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178" fontId="6" fillId="7" borderId="47" xfId="0" applyNumberFormat="1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7" borderId="48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2" fontId="6" fillId="7" borderId="46" xfId="0" applyNumberFormat="1" applyFont="1" applyFill="1" applyBorder="1" applyAlignment="1">
      <alignment horizontal="center" vertical="center"/>
    </xf>
    <xf numFmtId="2" fontId="6" fillId="7" borderId="47" xfId="0" applyNumberFormat="1" applyFont="1" applyFill="1" applyBorder="1" applyAlignment="1">
      <alignment horizontal="center" vertical="center"/>
    </xf>
    <xf numFmtId="17" fontId="5" fillId="0" borderId="12" xfId="0" applyNumberFormat="1" applyFont="1" applyBorder="1" applyAlignment="1">
      <alignment horizontal="center" vertical="center"/>
    </xf>
    <xf numFmtId="17" fontId="5" fillId="0" borderId="38" xfId="0" applyNumberFormat="1" applyFont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178" fontId="6" fillId="7" borderId="49" xfId="0" applyNumberFormat="1" applyFont="1" applyFill="1" applyBorder="1" applyAlignment="1">
      <alignment horizontal="center" vertical="center"/>
    </xf>
    <xf numFmtId="0" fontId="6" fillId="7" borderId="5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178" fontId="6" fillId="7" borderId="48" xfId="0" applyNumberFormat="1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17" fontId="5" fillId="0" borderId="15" xfId="0" applyNumberFormat="1" applyFont="1" applyBorder="1" applyAlignment="1">
      <alignment horizontal="center" vertical="center"/>
    </xf>
    <xf numFmtId="17" fontId="5" fillId="0" borderId="8" xfId="0" applyNumberFormat="1" applyFont="1" applyBorder="1" applyAlignment="1">
      <alignment horizontal="center" vertical="center"/>
    </xf>
    <xf numFmtId="2" fontId="6" fillId="7" borderId="49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2" fontId="7" fillId="7" borderId="46" xfId="0" applyNumberFormat="1" applyFont="1" applyFill="1" applyBorder="1" applyAlignment="1">
      <alignment horizontal="center" vertical="center"/>
    </xf>
    <xf numFmtId="17" fontId="5" fillId="0" borderId="34" xfId="0" applyNumberFormat="1" applyFont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2" fontId="7" fillId="7" borderId="0" xfId="0" applyNumberFormat="1" applyFont="1" applyFill="1" applyAlignment="1">
      <alignment horizontal="center" vertical="center"/>
    </xf>
    <xf numFmtId="0" fontId="7" fillId="7" borderId="50" xfId="0" applyFont="1" applyFill="1" applyBorder="1" applyAlignment="1">
      <alignment horizontal="center" vertical="center"/>
    </xf>
    <xf numFmtId="2" fontId="6" fillId="7" borderId="48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2" fontId="7" fillId="7" borderId="47" xfId="0" applyNumberFormat="1" applyFont="1" applyFill="1" applyBorder="1" applyAlignment="1">
      <alignment horizontal="center" vertical="center"/>
    </xf>
    <xf numFmtId="2" fontId="7" fillId="7" borderId="48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35" xfId="0" applyBorder="1"/>
    <xf numFmtId="0" fontId="11" fillId="2" borderId="22" xfId="0" applyFont="1" applyFill="1" applyBorder="1" applyAlignment="1">
      <alignment horizontal="center" vertical="center"/>
    </xf>
    <xf numFmtId="2" fontId="11" fillId="7" borderId="46" xfId="0" applyNumberFormat="1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7" borderId="47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7" borderId="48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2" fontId="12" fillId="7" borderId="46" xfId="0" applyNumberFormat="1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1" fillId="7" borderId="51" xfId="0" applyFont="1" applyFill="1" applyBorder="1" applyAlignment="1">
      <alignment horizontal="center" vertical="center"/>
    </xf>
    <xf numFmtId="0" fontId="11" fillId="8" borderId="52" xfId="0" applyFont="1" applyFill="1" applyBorder="1"/>
    <xf numFmtId="0" fontId="11" fillId="8" borderId="20" xfId="0" applyFont="1" applyFill="1" applyBorder="1"/>
    <xf numFmtId="0" fontId="13" fillId="0" borderId="18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wrapText="1"/>
    </xf>
    <xf numFmtId="0" fontId="13" fillId="10" borderId="45" xfId="0" applyFont="1" applyFill="1" applyBorder="1" applyAlignment="1">
      <alignment horizontal="center"/>
    </xf>
    <xf numFmtId="0" fontId="13" fillId="10" borderId="20" xfId="0" applyFont="1" applyFill="1" applyBorder="1" applyAlignment="1">
      <alignment horizontal="center"/>
    </xf>
    <xf numFmtId="0" fontId="13" fillId="0" borderId="21" xfId="0" applyFont="1" applyBorder="1" applyAlignment="1">
      <alignment horizontal="distributed"/>
    </xf>
    <xf numFmtId="0" fontId="13" fillId="0" borderId="45" xfId="0" applyFont="1" applyBorder="1" applyAlignment="1">
      <alignment horizontal="distributed"/>
    </xf>
    <xf numFmtId="0" fontId="11" fillId="8" borderId="35" xfId="0" applyFont="1" applyFill="1" applyBorder="1"/>
    <xf numFmtId="0" fontId="11" fillId="0" borderId="21" xfId="0" applyFont="1" applyBorder="1"/>
    <xf numFmtId="0" fontId="11" fillId="0" borderId="45" xfId="0" applyFont="1" applyBorder="1"/>
    <xf numFmtId="0" fontId="11" fillId="8" borderId="34" xfId="0" applyFont="1" applyFill="1" applyBorder="1"/>
    <xf numFmtId="0" fontId="11" fillId="0" borderId="20" xfId="0" applyFont="1" applyBorder="1"/>
    <xf numFmtId="17" fontId="13" fillId="0" borderId="12" xfId="0" applyNumberFormat="1" applyFont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2" fontId="11" fillId="7" borderId="24" xfId="0" applyNumberFormat="1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2" fontId="13" fillId="7" borderId="15" xfId="0" applyNumberFormat="1" applyFont="1" applyFill="1" applyBorder="1" applyAlignment="1">
      <alignment horizontal="center" vertical="center"/>
    </xf>
    <xf numFmtId="17" fontId="13" fillId="0" borderId="15" xfId="0" applyNumberFormat="1" applyFont="1" applyBorder="1" applyAlignment="1">
      <alignment horizontal="center" vertical="center"/>
    </xf>
    <xf numFmtId="0" fontId="11" fillId="2" borderId="54" xfId="0" applyFont="1" applyFill="1" applyBorder="1" applyAlignment="1">
      <alignment horizontal="center" vertical="center"/>
    </xf>
    <xf numFmtId="2" fontId="11" fillId="7" borderId="29" xfId="0" applyNumberFormat="1" applyFont="1" applyFill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0" fontId="11" fillId="2" borderId="55" xfId="0" applyFont="1" applyFill="1" applyBorder="1" applyAlignment="1">
      <alignment horizontal="center" vertical="center"/>
    </xf>
    <xf numFmtId="0" fontId="11" fillId="9" borderId="31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0" fontId="11" fillId="0" borderId="0" xfId="0" applyFont="1"/>
    <xf numFmtId="0" fontId="11" fillId="0" borderId="35" xfId="0" applyFont="1" applyBorder="1"/>
    <xf numFmtId="0" fontId="11" fillId="0" borderId="22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2" fontId="13" fillId="0" borderId="15" xfId="0" applyNumberFormat="1" applyFont="1" applyBorder="1" applyAlignment="1">
      <alignment horizontal="center" vertical="center"/>
    </xf>
    <xf numFmtId="49" fontId="13" fillId="0" borderId="17" xfId="0" applyNumberFormat="1" applyFont="1" applyBorder="1" applyAlignment="1">
      <alignment horizontal="center" vertical="center"/>
    </xf>
    <xf numFmtId="0" fontId="11" fillId="0" borderId="56" xfId="0" applyFont="1" applyBorder="1" applyAlignment="1">
      <alignment vertical="center"/>
    </xf>
    <xf numFmtId="0" fontId="11" fillId="0" borderId="57" xfId="0" applyFont="1" applyBorder="1" applyAlignment="1">
      <alignment vertical="center"/>
    </xf>
    <xf numFmtId="17" fontId="13" fillId="0" borderId="1" xfId="0" applyNumberFormat="1" applyFont="1" applyBorder="1" applyAlignment="1">
      <alignment horizontal="center" vertical="center"/>
    </xf>
    <xf numFmtId="17" fontId="13" fillId="0" borderId="26" xfId="0" applyNumberFormat="1" applyFont="1" applyBorder="1" applyAlignment="1">
      <alignment horizontal="center" vertical="center"/>
    </xf>
    <xf numFmtId="17" fontId="13" fillId="0" borderId="30" xfId="0" applyNumberFormat="1" applyFont="1" applyBorder="1" applyAlignment="1">
      <alignment horizontal="center" vertical="center"/>
    </xf>
    <xf numFmtId="0" fontId="11" fillId="0" borderId="19" xfId="0" applyFont="1" applyBorder="1"/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9" borderId="39" xfId="0" applyFont="1" applyFill="1" applyBorder="1" applyAlignment="1">
      <alignment horizontal="center" vertical="center"/>
    </xf>
    <xf numFmtId="0" fontId="11" fillId="9" borderId="40" xfId="0" applyFont="1" applyFill="1" applyBorder="1" applyAlignment="1">
      <alignment horizontal="center" vertical="center"/>
    </xf>
    <xf numFmtId="49" fontId="13" fillId="0" borderId="30" xfId="0" applyNumberFormat="1" applyFont="1" applyBorder="1" applyAlignment="1">
      <alignment horizontal="center" vertical="center"/>
    </xf>
    <xf numFmtId="0" fontId="11" fillId="11" borderId="31" xfId="0" applyFont="1" applyFill="1" applyBorder="1" applyAlignment="1">
      <alignment horizontal="center" vertical="center"/>
    </xf>
    <xf numFmtId="0" fontId="11" fillId="11" borderId="33" xfId="0" applyFont="1" applyFill="1" applyBorder="1" applyAlignment="1">
      <alignment horizontal="center" vertical="center"/>
    </xf>
    <xf numFmtId="178" fontId="11" fillId="7" borderId="24" xfId="0" applyNumberFormat="1" applyFont="1" applyFill="1" applyBorder="1" applyAlignment="1">
      <alignment horizontal="center" vertical="center"/>
    </xf>
    <xf numFmtId="17" fontId="13" fillId="0" borderId="38" xfId="0" applyNumberFormat="1" applyFont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2" fontId="11" fillId="7" borderId="40" xfId="0" applyNumberFormat="1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0" borderId="11" xfId="0" applyFont="1" applyBorder="1"/>
    <xf numFmtId="0" fontId="11" fillId="0" borderId="7" xfId="0" applyFont="1" applyBorder="1"/>
    <xf numFmtId="17" fontId="13" fillId="0" borderId="8" xfId="0" applyNumberFormat="1" applyFont="1" applyBorder="1" applyAlignment="1">
      <alignment horizontal="center" vertical="center"/>
    </xf>
    <xf numFmtId="1" fontId="11" fillId="7" borderId="33" xfId="0" applyNumberFormat="1" applyFont="1" applyFill="1" applyBorder="1" applyAlignment="1">
      <alignment horizontal="center" vertical="center"/>
    </xf>
    <xf numFmtId="0" fontId="11" fillId="0" borderId="42" xfId="0" applyFont="1" applyBorder="1" applyAlignment="1">
      <alignment vertical="center"/>
    </xf>
    <xf numFmtId="0" fontId="11" fillId="0" borderId="58" xfId="0" applyFont="1" applyBorder="1" applyAlignment="1">
      <alignment vertical="center"/>
    </xf>
    <xf numFmtId="0" fontId="11" fillId="9" borderId="22" xfId="0" applyFon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2" fontId="11" fillId="7" borderId="33" xfId="0" applyNumberFormat="1" applyFont="1" applyFill="1" applyBorder="1" applyAlignment="1">
      <alignment horizontal="center" vertical="center"/>
    </xf>
    <xf numFmtId="1" fontId="11" fillId="7" borderId="59" xfId="0" applyNumberFormat="1" applyFont="1" applyFill="1" applyBorder="1" applyAlignment="1">
      <alignment horizontal="center" vertical="center"/>
    </xf>
    <xf numFmtId="17" fontId="13" fillId="0" borderId="34" xfId="0" applyNumberFormat="1" applyFont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1" fontId="11" fillId="7" borderId="35" xfId="0" applyNumberFormat="1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1" fillId="11" borderId="39" xfId="0" applyFont="1" applyFill="1" applyBorder="1" applyAlignment="1">
      <alignment horizontal="center" vertical="center"/>
    </xf>
    <xf numFmtId="0" fontId="11" fillId="11" borderId="40" xfId="0" applyFont="1" applyFill="1" applyBorder="1" applyAlignment="1">
      <alignment horizontal="center" vertical="center"/>
    </xf>
    <xf numFmtId="2" fontId="13" fillId="7" borderId="38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2" fontId="13" fillId="7" borderId="6" xfId="0" applyNumberFormat="1" applyFont="1" applyFill="1" applyBorder="1" applyAlignment="1">
      <alignment horizontal="center" vertical="center"/>
    </xf>
    <xf numFmtId="2" fontId="0" fillId="0" borderId="6" xfId="0" applyNumberFormat="1" applyBorder="1"/>
    <xf numFmtId="17" fontId="4" fillId="0" borderId="22" xfId="0" applyNumberFormat="1" applyFont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2" fontId="12" fillId="7" borderId="24" xfId="0" applyNumberFormat="1" applyFont="1" applyFill="1" applyBorder="1" applyAlignment="1">
      <alignment horizontal="center" vertical="center"/>
    </xf>
    <xf numFmtId="2" fontId="13" fillId="7" borderId="12" xfId="0" applyNumberFormat="1" applyFont="1" applyFill="1" applyBorder="1" applyAlignment="1">
      <alignment horizontal="center" vertical="center"/>
    </xf>
    <xf numFmtId="17" fontId="4" fillId="0" borderId="27" xfId="0" applyNumberFormat="1" applyFont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2" fontId="12" fillId="7" borderId="29" xfId="0" applyNumberFormat="1" applyFont="1" applyFill="1" applyBorder="1" applyAlignment="1">
      <alignment horizontal="center" vertical="center"/>
    </xf>
    <xf numFmtId="17" fontId="4" fillId="0" borderId="31" xfId="0" applyNumberFormat="1" applyFont="1" applyBorder="1" applyAlignment="1">
      <alignment horizontal="center" vertical="center"/>
    </xf>
    <xf numFmtId="0" fontId="11" fillId="2" borderId="48" xfId="0" applyFont="1" applyFill="1" applyBorder="1" applyAlignment="1">
      <alignment horizontal="center"/>
    </xf>
    <xf numFmtId="0" fontId="12" fillId="7" borderId="33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0" fillId="0" borderId="34" xfId="0" applyBorder="1"/>
    <xf numFmtId="0" fontId="11" fillId="12" borderId="24" xfId="0" applyFont="1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17" fontId="4" fillId="0" borderId="26" xfId="0" applyNumberFormat="1" applyFont="1" applyBorder="1" applyAlignment="1">
      <alignment horizontal="center" vertical="center"/>
    </xf>
    <xf numFmtId="0" fontId="11" fillId="12" borderId="29" xfId="0" applyFont="1" applyFill="1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17" fontId="4" fillId="0" borderId="30" xfId="0" applyNumberFormat="1" applyFont="1" applyBorder="1" applyAlignment="1">
      <alignment horizontal="center" vertical="center"/>
    </xf>
    <xf numFmtId="0" fontId="11" fillId="12" borderId="33" xfId="0" applyFont="1" applyFill="1" applyBorder="1" applyAlignment="1">
      <alignment horizontal="center" vertical="center"/>
    </xf>
    <xf numFmtId="0" fontId="11" fillId="8" borderId="60" xfId="0" applyFont="1" applyFill="1" applyBorder="1"/>
    <xf numFmtId="0" fontId="0" fillId="13" borderId="30" xfId="0" applyFill="1" applyBorder="1" applyAlignment="1">
      <alignment horizontal="center" vertical="center"/>
    </xf>
    <xf numFmtId="0" fontId="0" fillId="13" borderId="61" xfId="0" applyFill="1" applyBorder="1" applyAlignment="1">
      <alignment horizontal="center" vertical="center"/>
    </xf>
    <xf numFmtId="0" fontId="11" fillId="8" borderId="17" xfId="0" applyFont="1" applyFill="1" applyBorder="1"/>
    <xf numFmtId="0" fontId="10" fillId="7" borderId="8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1" fontId="7" fillId="7" borderId="46" xfId="0" applyNumberFormat="1" applyFont="1" applyFill="1" applyBorder="1" applyAlignment="1">
      <alignment horizontal="center" vertical="center"/>
    </xf>
    <xf numFmtId="0" fontId="7" fillId="7" borderId="49" xfId="0" applyFont="1" applyFill="1" applyBorder="1" applyAlignment="1">
      <alignment horizontal="center" vertical="center"/>
    </xf>
    <xf numFmtId="49" fontId="13" fillId="0" borderId="6" xfId="0" applyNumberFormat="1" applyFont="1" applyBorder="1" applyAlignment="1">
      <alignment horizontal="center" vertical="center"/>
    </xf>
    <xf numFmtId="0" fontId="7" fillId="2" borderId="27" xfId="0" applyFont="1" applyFill="1" applyBorder="1" applyAlignment="1">
      <alignment horizontal="center"/>
    </xf>
    <xf numFmtId="0" fontId="7" fillId="7" borderId="47" xfId="0" applyFont="1" applyFill="1" applyBorder="1" applyAlignment="1">
      <alignment horizontal="center"/>
    </xf>
    <xf numFmtId="0" fontId="7" fillId="7" borderId="29" xfId="0" applyFont="1" applyFill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63" xfId="0" applyFont="1" applyFill="1" applyBorder="1" applyAlignment="1">
      <alignment horizontal="center" vertical="center"/>
    </xf>
    <xf numFmtId="17" fontId="13" fillId="0" borderId="6" xfId="0" applyNumberFormat="1" applyFont="1" applyBorder="1" applyAlignment="1">
      <alignment horizontal="center" vertical="center"/>
    </xf>
    <xf numFmtId="0" fontId="7" fillId="2" borderId="54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7" fontId="10" fillId="0" borderId="8" xfId="0" applyNumberFormat="1" applyFont="1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17" fontId="10" fillId="0" borderId="3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" fontId="7" fillId="7" borderId="47" xfId="0" applyNumberFormat="1" applyFont="1" applyFill="1" applyBorder="1" applyAlignment="1">
      <alignment horizontal="center"/>
    </xf>
    <xf numFmtId="0" fontId="7" fillId="14" borderId="47" xfId="0" applyFont="1" applyFill="1" applyBorder="1" applyAlignment="1">
      <alignment horizontal="center"/>
    </xf>
    <xf numFmtId="0" fontId="7" fillId="15" borderId="47" xfId="0" applyFont="1" applyFill="1" applyBorder="1" applyAlignment="1">
      <alignment horizontal="center"/>
    </xf>
    <xf numFmtId="1" fontId="7" fillId="15" borderId="47" xfId="0" applyNumberFormat="1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78" fontId="7" fillId="7" borderId="46" xfId="0" applyNumberFormat="1" applyFont="1" applyFill="1" applyBorder="1" applyAlignment="1">
      <alignment horizontal="center" vertical="center"/>
    </xf>
    <xf numFmtId="2" fontId="7" fillId="7" borderId="49" xfId="0" applyNumberFormat="1" applyFont="1" applyFill="1" applyBorder="1" applyAlignment="1">
      <alignment horizontal="center" vertical="center"/>
    </xf>
    <xf numFmtId="178" fontId="7" fillId="7" borderId="49" xfId="0" applyNumberFormat="1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1" fontId="7" fillId="7" borderId="41" xfId="0" applyNumberFormat="1" applyFont="1" applyFill="1" applyBorder="1" applyAlignment="1">
      <alignment horizontal="center" vertical="center"/>
    </xf>
    <xf numFmtId="17" fontId="10" fillId="0" borderId="11" xfId="0" applyNumberFormat="1" applyFont="1" applyBorder="1" applyAlignment="1">
      <alignment horizontal="center"/>
    </xf>
    <xf numFmtId="0" fontId="11" fillId="0" borderId="18" xfId="0" applyFont="1" applyBorder="1"/>
    <xf numFmtId="178" fontId="7" fillId="7" borderId="24" xfId="0" applyNumberFormat="1" applyFont="1" applyFill="1" applyBorder="1" applyAlignment="1">
      <alignment horizontal="center" vertical="center"/>
    </xf>
    <xf numFmtId="1" fontId="7" fillId="7" borderId="49" xfId="0" applyNumberFormat="1" applyFont="1" applyFill="1" applyBorder="1" applyAlignment="1">
      <alignment horizontal="center" vertical="center"/>
    </xf>
    <xf numFmtId="17" fontId="9" fillId="0" borderId="8" xfId="0" applyNumberFormat="1" applyFont="1" applyBorder="1" applyAlignment="1">
      <alignment horizontal="center"/>
    </xf>
    <xf numFmtId="0" fontId="8" fillId="0" borderId="19" xfId="0" applyFont="1" applyBorder="1"/>
    <xf numFmtId="1" fontId="7" fillId="0" borderId="35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 vertical="center"/>
    </xf>
    <xf numFmtId="17" fontId="14" fillId="0" borderId="8" xfId="0" applyNumberFormat="1" applyFont="1" applyBorder="1" applyAlignment="1">
      <alignment horizontal="center" vertical="center"/>
    </xf>
    <xf numFmtId="17" fontId="14" fillId="0" borderId="38" xfId="0" applyNumberFormat="1" applyFont="1" applyBorder="1" applyAlignment="1">
      <alignment horizontal="center" vertical="center"/>
    </xf>
    <xf numFmtId="17" fontId="10" fillId="0" borderId="12" xfId="0" applyNumberFormat="1" applyFont="1" applyBorder="1" applyAlignment="1">
      <alignment horizontal="center" vertical="center"/>
    </xf>
    <xf numFmtId="1" fontId="7" fillId="7" borderId="53" xfId="0" applyNumberFormat="1" applyFont="1" applyFill="1" applyBorder="1" applyAlignment="1">
      <alignment horizontal="center" vertical="center"/>
    </xf>
    <xf numFmtId="17" fontId="10" fillId="0" borderId="34" xfId="0" applyNumberFormat="1" applyFont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1" fontId="7" fillId="7" borderId="0" xfId="0" applyNumberFormat="1" applyFont="1" applyFill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7" fontId="10" fillId="0" borderId="38" xfId="0" applyNumberFormat="1" applyFont="1" applyBorder="1" applyAlignment="1">
      <alignment horizontal="center" vertical="center"/>
    </xf>
    <xf numFmtId="17" fontId="10" fillId="0" borderId="8" xfId="0" applyNumberFormat="1" applyFont="1" applyBorder="1" applyAlignment="1">
      <alignment horizontal="center" vertical="center"/>
    </xf>
    <xf numFmtId="0" fontId="7" fillId="7" borderId="47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" fontId="7" fillId="7" borderId="50" xfId="0" applyNumberFormat="1" applyFont="1" applyFill="1" applyBorder="1" applyAlignment="1">
      <alignment horizontal="center" vertical="center"/>
    </xf>
    <xf numFmtId="1" fontId="7" fillId="7" borderId="47" xfId="0" applyNumberFormat="1" applyFont="1" applyFill="1" applyBorder="1" applyAlignment="1">
      <alignment horizontal="center" vertical="center"/>
    </xf>
    <xf numFmtId="17" fontId="10" fillId="0" borderId="15" xfId="0" applyNumberFormat="1" applyFont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4" fillId="5" borderId="62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7" fillId="8" borderId="65" xfId="0" applyFont="1" applyFill="1" applyBorder="1" applyAlignment="1">
      <alignment horizontal="center"/>
    </xf>
    <xf numFmtId="0" fontId="4" fillId="9" borderId="62" xfId="0" applyFont="1" applyFill="1" applyBorder="1" applyAlignment="1">
      <alignment horizontal="center"/>
    </xf>
    <xf numFmtId="0" fontId="4" fillId="10" borderId="44" xfId="0" applyFont="1" applyFill="1" applyBorder="1" applyAlignment="1">
      <alignment horizontal="center"/>
    </xf>
    <xf numFmtId="0" fontId="9" fillId="9" borderId="62" xfId="0" applyFont="1" applyFill="1" applyBorder="1" applyAlignment="1">
      <alignment horizontal="center"/>
    </xf>
    <xf numFmtId="0" fontId="9" fillId="10" borderId="44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0" borderId="62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2" fontId="4" fillId="7" borderId="24" xfId="0" applyNumberFormat="1" applyFont="1" applyFill="1" applyBorder="1" applyAlignment="1">
      <alignment horizontal="center" vertical="center"/>
    </xf>
    <xf numFmtId="0" fontId="7" fillId="9" borderId="54" xfId="0" applyFont="1" applyFill="1" applyBorder="1" applyAlignment="1">
      <alignment horizontal="center" vertical="center"/>
    </xf>
    <xf numFmtId="0" fontId="7" fillId="9" borderId="28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/>
    </xf>
    <xf numFmtId="2" fontId="4" fillId="7" borderId="29" xfId="0" applyNumberFormat="1" applyFont="1" applyFill="1" applyBorder="1" applyAlignment="1">
      <alignment horizontal="center" vertical="center"/>
    </xf>
    <xf numFmtId="2" fontId="4" fillId="7" borderId="40" xfId="0" applyNumberFormat="1" applyFont="1" applyFill="1" applyBorder="1" applyAlignment="1">
      <alignment horizontal="center" vertical="center"/>
    </xf>
    <xf numFmtId="0" fontId="7" fillId="9" borderId="55" xfId="0" applyFont="1" applyFill="1" applyBorder="1" applyAlignment="1">
      <alignment horizontal="center" vertical="center"/>
    </xf>
    <xf numFmtId="0" fontId="7" fillId="9" borderId="32" xfId="0" applyFont="1" applyFill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2" fontId="4" fillId="0" borderId="67" xfId="0" applyNumberFormat="1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2" fontId="7" fillId="2" borderId="46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2" fontId="7" fillId="2" borderId="47" xfId="0" applyNumberFormat="1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5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0" borderId="5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15" borderId="28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2" fontId="4" fillId="0" borderId="35" xfId="0" applyNumberFormat="1" applyFont="1" applyBorder="1" applyAlignment="1">
      <alignment horizontal="center" vertical="center"/>
    </xf>
    <xf numFmtId="0" fontId="7" fillId="7" borderId="28" xfId="0" applyFont="1" applyFill="1" applyBorder="1" applyAlignment="1">
      <alignment horizontal="center"/>
    </xf>
    <xf numFmtId="2" fontId="4" fillId="0" borderId="60" xfId="0" applyNumberFormat="1" applyFont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2" fontId="4" fillId="7" borderId="23" xfId="0" applyNumberFormat="1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2" fontId="4" fillId="7" borderId="28" xfId="0" applyNumberFormat="1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2" fontId="4" fillId="7" borderId="50" xfId="0" applyNumberFormat="1" applyFont="1" applyFill="1" applyBorder="1" applyAlignment="1">
      <alignment horizontal="center" vertical="center"/>
    </xf>
    <xf numFmtId="0" fontId="7" fillId="9" borderId="63" xfId="0" applyFont="1" applyFill="1" applyBorder="1" applyAlignment="1">
      <alignment horizontal="center" vertical="center"/>
    </xf>
    <xf numFmtId="0" fontId="7" fillId="9" borderId="50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/>
    </xf>
    <xf numFmtId="1" fontId="4" fillId="7" borderId="47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53" xfId="0" applyFont="1" applyFill="1" applyBorder="1" applyAlignment="1">
      <alignment horizontal="center" vertical="center"/>
    </xf>
    <xf numFmtId="178" fontId="7" fillId="7" borderId="47" xfId="0" applyNumberFormat="1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7" fillId="11" borderId="55" xfId="0" applyFont="1" applyFill="1" applyBorder="1" applyAlignment="1">
      <alignment horizontal="center" vertical="center"/>
    </xf>
    <xf numFmtId="0" fontId="7" fillId="11" borderId="32" xfId="0" applyFont="1" applyFill="1" applyBorder="1" applyAlignment="1">
      <alignment horizontal="center" vertical="center"/>
    </xf>
    <xf numFmtId="2" fontId="4" fillId="7" borderId="70" xfId="0" applyNumberFormat="1" applyFont="1" applyFill="1" applyBorder="1" applyAlignment="1">
      <alignment horizontal="center" vertical="center"/>
    </xf>
    <xf numFmtId="1" fontId="4" fillId="2" borderId="63" xfId="0" applyNumberFormat="1" applyFont="1" applyFill="1" applyBorder="1" applyAlignment="1">
      <alignment horizontal="center" vertical="center"/>
    </xf>
    <xf numFmtId="0" fontId="4" fillId="7" borderId="47" xfId="0" applyFont="1" applyFill="1" applyBorder="1" applyAlignment="1">
      <alignment horizontal="center"/>
    </xf>
    <xf numFmtId="0" fontId="7" fillId="0" borderId="28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9" borderId="53" xfId="0" applyFont="1" applyFill="1" applyBorder="1" applyAlignment="1">
      <alignment horizontal="center" vertical="center"/>
    </xf>
    <xf numFmtId="0" fontId="7" fillId="9" borderId="23" xfId="0" applyFont="1" applyFill="1" applyBorder="1" applyAlignment="1">
      <alignment horizontal="center" vertical="center"/>
    </xf>
    <xf numFmtId="2" fontId="4" fillId="7" borderId="44" xfId="0" applyNumberFormat="1" applyFont="1" applyFill="1" applyBorder="1" applyAlignment="1">
      <alignment horizontal="center" vertical="center"/>
    </xf>
    <xf numFmtId="2" fontId="4" fillId="7" borderId="71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7" borderId="47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7" fillId="11" borderId="54" xfId="0" applyFont="1" applyFill="1" applyBorder="1" applyAlignment="1">
      <alignment horizontal="center" vertical="center"/>
    </xf>
    <xf numFmtId="0" fontId="7" fillId="11" borderId="28" xfId="0" applyFont="1" applyFill="1" applyBorder="1" applyAlignment="1">
      <alignment horizontal="center" vertical="center"/>
    </xf>
    <xf numFmtId="0" fontId="4" fillId="7" borderId="50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4" fillId="7" borderId="23" xfId="0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1" borderId="23" xfId="0" applyFont="1" applyFill="1" applyBorder="1" applyAlignment="1">
      <alignment horizontal="center" vertical="center"/>
    </xf>
    <xf numFmtId="0" fontId="7" fillId="11" borderId="27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2" fontId="4" fillId="7" borderId="15" xfId="0" applyNumberFormat="1" applyFont="1" applyFill="1" applyBorder="1" applyAlignment="1">
      <alignment horizontal="center" vertical="center"/>
    </xf>
    <xf numFmtId="2" fontId="4" fillId="7" borderId="8" xfId="0" applyNumberFormat="1" applyFont="1" applyFill="1" applyBorder="1" applyAlignment="1">
      <alignment horizontal="center" vertical="center"/>
    </xf>
    <xf numFmtId="2" fontId="4" fillId="7" borderId="12" xfId="0" applyNumberFormat="1" applyFont="1" applyFill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15" borderId="14" xfId="0" applyNumberFormat="1" applyFont="1" applyFill="1" applyBorder="1" applyAlignment="1">
      <alignment horizontal="center" vertical="center"/>
    </xf>
    <xf numFmtId="2" fontId="4" fillId="7" borderId="8" xfId="0" applyNumberFormat="1" applyFont="1" applyFill="1" applyBorder="1" applyAlignment="1">
      <alignment horizontal="center" vertical="center" wrapText="1"/>
    </xf>
    <xf numFmtId="2" fontId="4" fillId="7" borderId="12" xfId="0" applyNumberFormat="1" applyFont="1" applyFill="1" applyBorder="1" applyAlignment="1">
      <alignment horizontal="center" vertical="center" wrapText="1"/>
    </xf>
    <xf numFmtId="2" fontId="4" fillId="0" borderId="14" xfId="0" applyNumberFormat="1" applyFont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2" fontId="4" fillId="7" borderId="47" xfId="0" applyNumberFormat="1" applyFont="1" applyFill="1" applyBorder="1" applyAlignment="1">
      <alignment horizontal="center"/>
    </xf>
    <xf numFmtId="2" fontId="7" fillId="0" borderId="34" xfId="0" applyNumberFormat="1" applyFont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4" fillId="7" borderId="12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7" fillId="7" borderId="72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/>
    </xf>
    <xf numFmtId="0" fontId="6" fillId="7" borderId="47" xfId="0" applyFont="1" applyFill="1" applyBorder="1" applyAlignment="1">
      <alignment horizontal="center"/>
    </xf>
    <xf numFmtId="0" fontId="6" fillId="2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54" xfId="0" applyBorder="1" applyAlignment="1">
      <alignment horizontal="center"/>
    </xf>
    <xf numFmtId="0" fontId="5" fillId="5" borderId="2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34" xfId="0" applyFont="1" applyBorder="1" applyAlignment="1">
      <alignment vertical="center"/>
    </xf>
    <xf numFmtId="0" fontId="13" fillId="6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3" fillId="6" borderId="38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17" fontId="10" fillId="0" borderId="36" xfId="0" applyNumberFormat="1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" fontId="10" fillId="0" borderId="11" xfId="0" applyNumberFormat="1" applyFont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8" fillId="8" borderId="20" xfId="0" applyFont="1" applyFill="1" applyBorder="1"/>
    <xf numFmtId="0" fontId="8" fillId="0" borderId="18" xfId="0" applyFont="1" applyBorder="1"/>
    <xf numFmtId="0" fontId="14" fillId="5" borderId="11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distributed"/>
    </xf>
    <xf numFmtId="0" fontId="14" fillId="0" borderId="43" xfId="0" applyFont="1" applyBorder="1" applyAlignment="1">
      <alignment horizontal="distributed"/>
    </xf>
    <xf numFmtId="0" fontId="14" fillId="0" borderId="44" xfId="0" applyFont="1" applyBorder="1" applyAlignment="1">
      <alignment horizontal="center"/>
    </xf>
    <xf numFmtId="17" fontId="14" fillId="0" borderId="1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46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7" fontId="14" fillId="0" borderId="26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" fontId="6" fillId="0" borderId="36" xfId="0" applyNumberFormat="1" applyFont="1" applyBorder="1"/>
    <xf numFmtId="1" fontId="6" fillId="0" borderId="10" xfId="0" applyNumberFormat="1" applyFont="1" applyBorder="1"/>
    <xf numFmtId="1" fontId="6" fillId="0" borderId="19" xfId="0" applyNumberFormat="1" applyFont="1" applyBorder="1"/>
    <xf numFmtId="178" fontId="6" fillId="7" borderId="46" xfId="0" applyNumberFormat="1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1" fontId="6" fillId="2" borderId="31" xfId="0" applyNumberFormat="1" applyFont="1" applyFill="1" applyBorder="1" applyAlignment="1">
      <alignment horizontal="center" vertical="center"/>
    </xf>
    <xf numFmtId="1" fontId="6" fillId="7" borderId="48" xfId="0" applyNumberFormat="1" applyFont="1" applyFill="1" applyBorder="1" applyAlignment="1">
      <alignment horizontal="center" vertical="center"/>
    </xf>
    <xf numFmtId="1" fontId="6" fillId="7" borderId="32" xfId="0" applyNumberFormat="1" applyFont="1" applyFill="1" applyBorder="1" applyAlignment="1">
      <alignment horizontal="center" vertical="center"/>
    </xf>
    <xf numFmtId="0" fontId="8" fillId="0" borderId="11" xfId="0" applyFont="1" applyBorder="1"/>
    <xf numFmtId="178" fontId="6" fillId="0" borderId="53" xfId="0" applyNumberFormat="1" applyFont="1" applyBorder="1" applyAlignment="1">
      <alignment horizontal="center" vertical="center"/>
    </xf>
    <xf numFmtId="178" fontId="6" fillId="0" borderId="46" xfId="0" applyNumberFormat="1" applyFont="1" applyBorder="1" applyAlignment="1">
      <alignment horizontal="center" vertical="center"/>
    </xf>
    <xf numFmtId="178" fontId="6" fillId="0" borderId="23" xfId="0" applyNumberFormat="1" applyFont="1" applyBorder="1" applyAlignment="1">
      <alignment horizontal="center" vertical="center"/>
    </xf>
    <xf numFmtId="17" fontId="14" fillId="0" borderId="15" xfId="0" applyNumberFormat="1" applyFont="1" applyBorder="1" applyAlignment="1">
      <alignment horizontal="center" vertical="center"/>
    </xf>
    <xf numFmtId="178" fontId="6" fillId="0" borderId="54" xfId="0" applyNumberFormat="1" applyFont="1" applyBorder="1" applyAlignment="1">
      <alignment horizontal="center" vertical="center"/>
    </xf>
    <xf numFmtId="178" fontId="6" fillId="0" borderId="47" xfId="0" applyNumberFormat="1" applyFont="1" applyBorder="1" applyAlignment="1">
      <alignment horizontal="center" vertical="center"/>
    </xf>
    <xf numFmtId="178" fontId="6" fillId="0" borderId="28" xfId="0" applyNumberFormat="1" applyFont="1" applyBorder="1" applyAlignment="1">
      <alignment horizontal="center" vertical="center"/>
    </xf>
    <xf numFmtId="1" fontId="6" fillId="2" borderId="55" xfId="0" applyNumberFormat="1" applyFont="1" applyFill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7" fontId="4" fillId="0" borderId="12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46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7" fontId="4" fillId="0" borderId="34" xfId="0" applyNumberFormat="1" applyFont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1" fontId="7" fillId="0" borderId="39" xfId="0" applyNumberFormat="1" applyFont="1" applyBorder="1" applyAlignment="1">
      <alignment horizontal="center" vertical="center"/>
    </xf>
    <xf numFmtId="1" fontId="7" fillId="0" borderId="49" xfId="0" applyNumberFormat="1" applyFont="1" applyBorder="1" applyAlignment="1">
      <alignment horizontal="center" vertical="center"/>
    </xf>
    <xf numFmtId="1" fontId="7" fillId="0" borderId="40" xfId="0" applyNumberFormat="1" applyFont="1" applyBorder="1" applyAlignment="1">
      <alignment horizontal="center" vertical="center"/>
    </xf>
    <xf numFmtId="17" fontId="4" fillId="0" borderId="8" xfId="0" applyNumberFormat="1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17" fontId="10" fillId="0" borderId="1" xfId="0" applyNumberFormat="1" applyFont="1" applyBorder="1" applyAlignment="1">
      <alignment horizontal="center" vertical="center"/>
    </xf>
    <xf numFmtId="1" fontId="12" fillId="7" borderId="23" xfId="0" applyNumberFormat="1" applyFont="1" applyFill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2" fontId="12" fillId="0" borderId="46" xfId="0" applyNumberFormat="1" applyFont="1" applyBorder="1" applyAlignment="1">
      <alignment horizontal="center" vertical="center"/>
    </xf>
    <xf numFmtId="2" fontId="12" fillId="0" borderId="24" xfId="0" applyNumberFormat="1" applyFont="1" applyBorder="1" applyAlignment="1">
      <alignment horizontal="center" vertical="center"/>
    </xf>
    <xf numFmtId="0" fontId="0" fillId="0" borderId="36" xfId="0" applyBorder="1"/>
    <xf numFmtId="17" fontId="10" fillId="0" borderId="30" xfId="0" applyNumberFormat="1" applyFont="1" applyBorder="1" applyAlignment="1">
      <alignment horizontal="center" vertical="center"/>
    </xf>
    <xf numFmtId="2" fontId="12" fillId="7" borderId="47" xfId="0" applyNumberFormat="1" applyFont="1" applyFill="1" applyBorder="1" applyAlignment="1">
      <alignment horizontal="center" vertical="center"/>
    </xf>
    <xf numFmtId="1" fontId="12" fillId="7" borderId="28" xfId="0" applyNumberFormat="1" applyFont="1" applyFill="1" applyBorder="1" applyAlignment="1">
      <alignment horizontal="center" vertical="center"/>
    </xf>
    <xf numFmtId="2" fontId="12" fillId="0" borderId="27" xfId="0" applyNumberFormat="1" applyFont="1" applyBorder="1" applyAlignment="1">
      <alignment horizontal="center" vertical="center"/>
    </xf>
    <xf numFmtId="2" fontId="12" fillId="0" borderId="47" xfId="0" applyNumberFormat="1" applyFont="1" applyBorder="1" applyAlignment="1">
      <alignment horizontal="center" vertical="center"/>
    </xf>
    <xf numFmtId="2" fontId="12" fillId="0" borderId="29" xfId="0" applyNumberFormat="1" applyFont="1" applyBorder="1" applyAlignment="1">
      <alignment horizontal="center" vertical="center"/>
    </xf>
    <xf numFmtId="2" fontId="12" fillId="7" borderId="48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2" borderId="31" xfId="0" applyNumberFormat="1" applyFont="1" applyFill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11" fillId="2" borderId="22" xfId="0" applyNumberFormat="1" applyFont="1" applyFill="1" applyBorder="1" applyAlignment="1">
      <alignment horizontal="center" vertical="center"/>
    </xf>
    <xf numFmtId="1" fontId="11" fillId="7" borderId="46" xfId="0" applyNumberFormat="1" applyFont="1" applyFill="1" applyBorder="1" applyAlignment="1">
      <alignment horizontal="center" vertical="center"/>
    </xf>
    <xf numFmtId="17" fontId="10" fillId="0" borderId="1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1" fontId="12" fillId="2" borderId="22" xfId="0" applyNumberFormat="1" applyFont="1" applyFill="1" applyBorder="1" applyAlignment="1">
      <alignment horizontal="center" vertical="center"/>
    </xf>
    <xf numFmtId="1" fontId="12" fillId="7" borderId="46" xfId="0" applyNumberFormat="1" applyFont="1" applyFill="1" applyBorder="1" applyAlignment="1">
      <alignment horizontal="center" vertical="center"/>
    </xf>
    <xf numFmtId="1" fontId="12" fillId="7" borderId="2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62" xfId="0" applyFont="1" applyFill="1" applyBorder="1" applyAlignment="1">
      <alignment horizontal="center" vertical="center"/>
    </xf>
    <xf numFmtId="0" fontId="14" fillId="5" borderId="45" xfId="0" applyFont="1" applyFill="1" applyBorder="1" applyAlignment="1">
      <alignment horizontal="center" vertical="center"/>
    </xf>
    <xf numFmtId="0" fontId="14" fillId="0" borderId="45" xfId="0" applyFont="1" applyBorder="1" applyAlignment="1">
      <alignment horizontal="center"/>
    </xf>
    <xf numFmtId="0" fontId="14" fillId="9" borderId="62" xfId="0" applyFont="1" applyFill="1" applyBorder="1" applyAlignment="1">
      <alignment horizontal="distributed"/>
    </xf>
    <xf numFmtId="0" fontId="14" fillId="10" borderId="44" xfId="0" applyFont="1" applyFill="1" applyBorder="1" applyAlignment="1">
      <alignment horizontal="distributed"/>
    </xf>
    <xf numFmtId="0" fontId="5" fillId="2" borderId="53" xfId="0" applyFont="1" applyFill="1" applyBorder="1" applyAlignment="1">
      <alignment horizontal="center" vertical="center"/>
    </xf>
    <xf numFmtId="2" fontId="5" fillId="7" borderId="24" xfId="0" applyNumberFormat="1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2" fontId="5" fillId="7" borderId="29" xfId="0" applyNumberFormat="1" applyFont="1" applyFill="1" applyBorder="1" applyAlignment="1">
      <alignment horizontal="center" vertical="center"/>
    </xf>
    <xf numFmtId="0" fontId="5" fillId="2" borderId="55" xfId="0" applyFont="1" applyFill="1" applyBorder="1" applyAlignment="1">
      <alignment horizontal="center" vertical="center"/>
    </xf>
    <xf numFmtId="2" fontId="5" fillId="7" borderId="33" xfId="0" applyNumberFormat="1" applyFont="1" applyFill="1" applyBorder="1" applyAlignment="1">
      <alignment horizontal="center" vertical="center"/>
    </xf>
    <xf numFmtId="2" fontId="5" fillId="0" borderId="58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2" borderId="62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2" fontId="5" fillId="7" borderId="47" xfId="0" applyNumberFormat="1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2" fontId="5" fillId="7" borderId="58" xfId="0" applyNumberFormat="1" applyFont="1" applyFill="1" applyBorder="1" applyAlignment="1">
      <alignment horizontal="center" vertical="center"/>
    </xf>
    <xf numFmtId="1" fontId="5" fillId="2" borderId="63" xfId="0" applyNumberFormat="1" applyFont="1" applyFill="1" applyBorder="1" applyAlignment="1">
      <alignment horizontal="center" vertical="center"/>
    </xf>
    <xf numFmtId="2" fontId="5" fillId="7" borderId="49" xfId="0" applyNumberFormat="1" applyFont="1" applyFill="1" applyBorder="1" applyAlignment="1">
      <alignment horizontal="center" vertical="center"/>
    </xf>
    <xf numFmtId="1" fontId="5" fillId="2" borderId="55" xfId="0" applyNumberFormat="1" applyFont="1" applyFill="1" applyBorder="1" applyAlignment="1">
      <alignment horizontal="center" vertical="center"/>
    </xf>
    <xf numFmtId="2" fontId="5" fillId="7" borderId="45" xfId="0" applyNumberFormat="1" applyFont="1" applyFill="1" applyBorder="1" applyAlignment="1">
      <alignment horizontal="center" vertical="center"/>
    </xf>
    <xf numFmtId="2" fontId="4" fillId="7" borderId="4" xfId="0" applyNumberFormat="1" applyFont="1" applyFill="1" applyBorder="1" applyAlignment="1">
      <alignment horizontal="center" vertical="center"/>
    </xf>
    <xf numFmtId="0" fontId="12" fillId="7" borderId="23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2" fontId="13" fillId="7" borderId="24" xfId="0" applyNumberFormat="1" applyFont="1" applyFill="1" applyBorder="1" applyAlignment="1">
      <alignment horizontal="center" vertical="center"/>
    </xf>
    <xf numFmtId="1" fontId="12" fillId="7" borderId="29" xfId="0" applyNumberFormat="1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2" fillId="7" borderId="48" xfId="0" applyFont="1" applyFill="1" applyBorder="1" applyAlignment="1">
      <alignment horizontal="center" vertical="center"/>
    </xf>
    <xf numFmtId="0" fontId="12" fillId="7" borderId="32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7" borderId="33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2" fontId="11" fillId="7" borderId="53" xfId="0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11" fillId="7" borderId="55" xfId="0" applyFont="1" applyFill="1" applyBorder="1" applyAlignment="1">
      <alignment horizontal="center" vertical="center"/>
    </xf>
    <xf numFmtId="0" fontId="13" fillId="2" borderId="73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7" borderId="24" xfId="0" applyFont="1" applyFill="1" applyBorder="1" applyAlignment="1">
      <alignment horizontal="center" vertical="center"/>
    </xf>
    <xf numFmtId="0" fontId="10" fillId="2" borderId="66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4" fillId="10" borderId="44" xfId="0" applyFont="1" applyFill="1" applyBorder="1" applyAlignment="1">
      <alignment horizontal="center"/>
    </xf>
    <xf numFmtId="0" fontId="14" fillId="10" borderId="52" xfId="0" applyFont="1" applyFill="1" applyBorder="1" applyAlignment="1">
      <alignment horizontal="distributed"/>
    </xf>
    <xf numFmtId="0" fontId="8" fillId="8" borderId="34" xfId="0" applyFont="1" applyFill="1" applyBorder="1"/>
    <xf numFmtId="0" fontId="8" fillId="0" borderId="62" xfId="0" applyFont="1" applyBorder="1"/>
    <xf numFmtId="0" fontId="8" fillId="0" borderId="44" xfId="0" applyFont="1" applyBorder="1"/>
    <xf numFmtId="0" fontId="8" fillId="0" borderId="52" xfId="0" applyFont="1" applyBorder="1"/>
    <xf numFmtId="0" fontId="8" fillId="8" borderId="0" xfId="0" applyFont="1" applyFill="1"/>
    <xf numFmtId="0" fontId="6" fillId="9" borderId="22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2" fontId="5" fillId="7" borderId="12" xfId="0" applyNumberFormat="1" applyFont="1" applyFill="1" applyBorder="1" applyAlignment="1">
      <alignment horizontal="center" vertical="center"/>
    </xf>
    <xf numFmtId="0" fontId="6" fillId="9" borderId="27" xfId="0" applyFont="1" applyFill="1" applyBorder="1" applyAlignment="1">
      <alignment horizontal="center" vertical="center"/>
    </xf>
    <xf numFmtId="0" fontId="6" fillId="9" borderId="29" xfId="0" applyFont="1" applyFill="1" applyBorder="1" applyAlignment="1">
      <alignment horizontal="center" vertical="center"/>
    </xf>
    <xf numFmtId="0" fontId="6" fillId="9" borderId="31" xfId="0" applyFont="1" applyFill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2" fontId="5" fillId="0" borderId="35" xfId="0" applyNumberFormat="1" applyFont="1" applyBorder="1" applyAlignment="1">
      <alignment horizontal="center" vertical="center"/>
    </xf>
    <xf numFmtId="0" fontId="8" fillId="8" borderId="35" xfId="0" applyFont="1" applyFill="1" applyBorder="1"/>
    <xf numFmtId="2" fontId="5" fillId="7" borderId="59" xfId="0" applyNumberFormat="1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2" fontId="5" fillId="0" borderId="17" xfId="0" applyNumberFormat="1" applyFont="1" applyBorder="1" applyAlignment="1">
      <alignment vertical="center"/>
    </xf>
    <xf numFmtId="0" fontId="6" fillId="9" borderId="53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6" fillId="9" borderId="55" xfId="0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horizontal="center" vertical="center"/>
    </xf>
    <xf numFmtId="0" fontId="6" fillId="0" borderId="35" xfId="0" applyFont="1" applyBorder="1" applyAlignment="1">
      <alignment vertical="center"/>
    </xf>
    <xf numFmtId="2" fontId="5" fillId="0" borderId="34" xfId="0" applyNumberFormat="1" applyFont="1" applyBorder="1" applyAlignment="1">
      <alignment vertical="center"/>
    </xf>
    <xf numFmtId="2" fontId="5" fillId="7" borderId="15" xfId="0" applyNumberFormat="1" applyFont="1" applyFill="1" applyBorder="1" applyAlignment="1">
      <alignment horizontal="center" vertical="center"/>
    </xf>
    <xf numFmtId="0" fontId="6" fillId="11" borderId="30" xfId="0" applyFont="1" applyFill="1" applyBorder="1" applyAlignment="1">
      <alignment horizontal="center" vertical="center"/>
    </xf>
    <xf numFmtId="0" fontId="6" fillId="11" borderId="61" xfId="0" applyFont="1" applyFill="1" applyBorder="1" applyAlignment="1">
      <alignment horizontal="center" vertical="center"/>
    </xf>
    <xf numFmtId="2" fontId="5" fillId="7" borderId="8" xfId="0" applyNumberFormat="1" applyFont="1" applyFill="1" applyBorder="1" applyAlignment="1">
      <alignment horizontal="center" vertical="center" wrapText="1"/>
    </xf>
    <xf numFmtId="0" fontId="8" fillId="8" borderId="19" xfId="0" applyFont="1" applyFill="1" applyBorder="1"/>
    <xf numFmtId="0" fontId="6" fillId="0" borderId="70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2" fontId="5" fillId="0" borderId="74" xfId="0" applyNumberFormat="1" applyFont="1" applyBorder="1" applyAlignment="1">
      <alignment vertical="center" wrapText="1"/>
    </xf>
    <xf numFmtId="2" fontId="5" fillId="7" borderId="75" xfId="0" applyNumberFormat="1" applyFont="1" applyFill="1" applyBorder="1" applyAlignment="1">
      <alignment horizontal="center" vertical="center"/>
    </xf>
    <xf numFmtId="0" fontId="6" fillId="9" borderId="39" xfId="0" applyFont="1" applyFill="1" applyBorder="1" applyAlignment="1">
      <alignment horizontal="center" vertical="center"/>
    </xf>
    <xf numFmtId="0" fontId="6" fillId="9" borderId="40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2" fontId="5" fillId="7" borderId="38" xfId="0" applyNumberFormat="1" applyFont="1" applyFill="1" applyBorder="1" applyAlignment="1">
      <alignment horizontal="center" vertical="center"/>
    </xf>
    <xf numFmtId="0" fontId="6" fillId="0" borderId="69" xfId="0" applyFont="1" applyBorder="1" applyAlignment="1">
      <alignment vertical="center"/>
    </xf>
    <xf numFmtId="0" fontId="6" fillId="0" borderId="68" xfId="0" applyFont="1" applyBorder="1" applyAlignment="1">
      <alignment vertical="center"/>
    </xf>
    <xf numFmtId="2" fontId="5" fillId="0" borderId="14" xfId="0" applyNumberFormat="1" applyFont="1" applyBorder="1" applyAlignment="1">
      <alignment vertical="center"/>
    </xf>
    <xf numFmtId="0" fontId="6" fillId="9" borderId="54" xfId="0" applyFont="1" applyFill="1" applyBorder="1" applyAlignment="1">
      <alignment horizontal="center" vertical="center"/>
    </xf>
    <xf numFmtId="0" fontId="6" fillId="9" borderId="28" xfId="0" applyFont="1" applyFill="1" applyBorder="1" applyAlignment="1">
      <alignment horizontal="center" vertical="center"/>
    </xf>
    <xf numFmtId="2" fontId="5" fillId="7" borderId="41" xfId="0" applyNumberFormat="1" applyFont="1" applyFill="1" applyBorder="1" applyAlignment="1">
      <alignment horizontal="center" vertical="center"/>
    </xf>
    <xf numFmtId="2" fontId="5" fillId="7" borderId="6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6" fillId="0" borderId="76" xfId="0" applyFont="1" applyBorder="1" applyAlignment="1">
      <alignment vertical="center"/>
    </xf>
    <xf numFmtId="0" fontId="6" fillId="9" borderId="63" xfId="0" applyFont="1" applyFill="1" applyBorder="1" applyAlignment="1">
      <alignment horizontal="center" vertical="center"/>
    </xf>
    <xf numFmtId="0" fontId="6" fillId="9" borderId="50" xfId="0" applyFont="1" applyFill="1" applyBorder="1" applyAlignment="1">
      <alignment horizontal="center" vertical="center"/>
    </xf>
    <xf numFmtId="0" fontId="6" fillId="0" borderId="36" xfId="0" applyFont="1" applyBorder="1" applyAlignment="1">
      <alignment vertical="center"/>
    </xf>
    <xf numFmtId="0" fontId="6" fillId="0" borderId="60" xfId="0" applyFont="1" applyBorder="1" applyAlignment="1">
      <alignment vertical="center"/>
    </xf>
    <xf numFmtId="2" fontId="14" fillId="0" borderId="60" xfId="0" applyNumberFormat="1" applyFont="1" applyBorder="1" applyAlignment="1">
      <alignment horizontal="center" vertical="center"/>
    </xf>
    <xf numFmtId="2" fontId="4" fillId="7" borderId="59" xfId="0" applyNumberFormat="1" applyFont="1" applyFill="1" applyBorder="1" applyAlignment="1">
      <alignment horizontal="center" vertical="center"/>
    </xf>
    <xf numFmtId="2" fontId="4" fillId="7" borderId="35" xfId="0" applyNumberFormat="1" applyFont="1" applyFill="1" applyBorder="1" applyAlignment="1">
      <alignment horizontal="center" vertical="center"/>
    </xf>
    <xf numFmtId="0" fontId="15" fillId="0" borderId="35" xfId="0" applyFont="1" applyBorder="1" applyAlignment="1">
      <alignment vertical="center"/>
    </xf>
    <xf numFmtId="0" fontId="11" fillId="9" borderId="53" xfId="0" applyFont="1" applyFill="1" applyBorder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2" fontId="10" fillId="7" borderId="59" xfId="0" applyNumberFormat="1" applyFont="1" applyFill="1" applyBorder="1" applyAlignment="1">
      <alignment horizontal="center" vertical="center"/>
    </xf>
    <xf numFmtId="0" fontId="11" fillId="11" borderId="55" xfId="0" applyFont="1" applyFill="1" applyBorder="1" applyAlignment="1">
      <alignment horizontal="center" vertical="center"/>
    </xf>
    <xf numFmtId="0" fontId="11" fillId="11" borderId="32" xfId="0" applyFont="1" applyFill="1" applyBorder="1" applyAlignment="1">
      <alignment horizontal="center" vertical="center"/>
    </xf>
    <xf numFmtId="0" fontId="8" fillId="8" borderId="34" xfId="0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1" fillId="8" borderId="0" xfId="0" applyFont="1" applyFill="1"/>
    <xf numFmtId="0" fontId="9" fillId="0" borderId="34" xfId="0" applyFont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0" fontId="8" fillId="9" borderId="24" xfId="0" applyFont="1" applyFill="1" applyBorder="1" applyAlignment="1">
      <alignment horizontal="center" vertical="center"/>
    </xf>
    <xf numFmtId="2" fontId="9" fillId="7" borderId="6" xfId="0" applyNumberFormat="1" applyFont="1" applyFill="1" applyBorder="1" applyAlignment="1">
      <alignment horizontal="center" vertical="center"/>
    </xf>
    <xf numFmtId="0" fontId="8" fillId="8" borderId="10" xfId="0" applyFont="1" applyFill="1" applyBorder="1"/>
    <xf numFmtId="0" fontId="8" fillId="9" borderId="31" xfId="0" applyFont="1" applyFill="1" applyBorder="1" applyAlignment="1">
      <alignment horizontal="center" vertical="center"/>
    </xf>
    <xf numFmtId="0" fontId="8" fillId="9" borderId="33" xfId="0" applyFont="1" applyFill="1" applyBorder="1" applyAlignment="1">
      <alignment horizontal="center" vertical="center"/>
    </xf>
    <xf numFmtId="0" fontId="0" fillId="8" borderId="0" xfId="0" applyFill="1"/>
    <xf numFmtId="0" fontId="9" fillId="0" borderId="18" xfId="0" applyFont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distributed" vertical="center"/>
    </xf>
    <xf numFmtId="0" fontId="18" fillId="0" borderId="3" xfId="0" applyFont="1" applyBorder="1" applyAlignment="1">
      <alignment horizontal="distributed" vertical="center"/>
    </xf>
    <xf numFmtId="0" fontId="18" fillId="0" borderId="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2" fontId="8" fillId="7" borderId="74" xfId="0" applyNumberFormat="1" applyFont="1" applyFill="1" applyBorder="1" applyAlignment="1">
      <alignment horizontal="center" vertical="center"/>
    </xf>
    <xf numFmtId="1" fontId="8" fillId="7" borderId="57" xfId="0" applyNumberFormat="1" applyFont="1" applyFill="1" applyBorder="1" applyAlignment="1">
      <alignment horizontal="center" vertical="center"/>
    </xf>
    <xf numFmtId="1" fontId="8" fillId="7" borderId="74" xfId="0" applyNumberFormat="1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2" fontId="8" fillId="7" borderId="47" xfId="0" applyNumberFormat="1" applyFont="1" applyFill="1" applyBorder="1" applyAlignment="1">
      <alignment horizontal="center" vertical="center"/>
    </xf>
    <xf numFmtId="1" fontId="8" fillId="7" borderId="29" xfId="0" applyNumberFormat="1" applyFont="1" applyFill="1" applyBorder="1" applyAlignment="1">
      <alignment horizontal="center" vertical="center"/>
    </xf>
    <xf numFmtId="1" fontId="8" fillId="7" borderId="47" xfId="0" applyNumberFormat="1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2" fontId="8" fillId="7" borderId="48" xfId="0" applyNumberFormat="1" applyFont="1" applyFill="1" applyBorder="1" applyAlignment="1">
      <alignment horizontal="center" vertical="center"/>
    </xf>
    <xf numFmtId="1" fontId="8" fillId="7" borderId="33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8" fillId="7" borderId="53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7" borderId="46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8" fillId="7" borderId="54" xfId="0" applyFont="1" applyFill="1" applyBorder="1" applyAlignment="1">
      <alignment horizontal="center" vertical="center"/>
    </xf>
    <xf numFmtId="0" fontId="8" fillId="7" borderId="29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8" fillId="7" borderId="47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8" fillId="7" borderId="7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8" fillId="7" borderId="63" xfId="0" applyFont="1" applyFill="1" applyBorder="1" applyAlignment="1">
      <alignment horizontal="center" vertical="center"/>
    </xf>
    <xf numFmtId="0" fontId="8" fillId="7" borderId="40" xfId="0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0" fontId="8" fillId="7" borderId="49" xfId="0" applyFont="1" applyFill="1" applyBorder="1" applyAlignment="1">
      <alignment horizontal="center" vertical="center"/>
    </xf>
    <xf numFmtId="0" fontId="8" fillId="7" borderId="50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12" fillId="7" borderId="63" xfId="0" applyFont="1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8" fillId="7" borderId="48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8" fillId="7" borderId="32" xfId="0" applyFont="1" applyFill="1" applyBorder="1" applyAlignment="1">
      <alignment horizontal="center" vertical="center"/>
    </xf>
    <xf numFmtId="0" fontId="19" fillId="0" borderId="19" xfId="0" applyFont="1" applyBorder="1"/>
    <xf numFmtId="0" fontId="9" fillId="6" borderId="2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5" xfId="0" applyBorder="1"/>
    <xf numFmtId="0" fontId="0" fillId="0" borderId="7" xfId="0" applyBorder="1"/>
    <xf numFmtId="49" fontId="14" fillId="0" borderId="12" xfId="0" applyNumberFormat="1" applyFont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7" borderId="46" xfId="0" applyFont="1" applyFill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49" fontId="14" fillId="0" borderId="15" xfId="0" applyNumberFormat="1" applyFont="1" applyBorder="1" applyAlignment="1">
      <alignment horizontal="center" vertical="center"/>
    </xf>
    <xf numFmtId="0" fontId="16" fillId="7" borderId="47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0" fillId="8" borderId="0" xfId="0" applyFill="1" applyAlignment="1">
      <alignment horizontal="distributed" vertical="center"/>
    </xf>
    <xf numFmtId="0" fontId="18" fillId="9" borderId="21" xfId="0" applyFont="1" applyFill="1" applyBorder="1" applyAlignment="1">
      <alignment horizontal="distributed" vertical="center"/>
    </xf>
    <xf numFmtId="0" fontId="18" fillId="10" borderId="45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distributed" vertical="center"/>
    </xf>
    <xf numFmtId="0" fontId="18" fillId="10" borderId="4" xfId="0" applyFont="1" applyFill="1" applyBorder="1" applyAlignment="1">
      <alignment horizontal="distributed" vertical="center"/>
    </xf>
    <xf numFmtId="0" fontId="0" fillId="8" borderId="0" xfId="0" applyFill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8" fillId="7" borderId="57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/>
    </xf>
    <xf numFmtId="2" fontId="9" fillId="7" borderId="57" xfId="0" applyNumberFormat="1" applyFont="1" applyFill="1" applyBorder="1" applyAlignment="1">
      <alignment horizontal="center" vertical="center"/>
    </xf>
    <xf numFmtId="0" fontId="8" fillId="9" borderId="56" xfId="0" applyFont="1" applyFill="1" applyBorder="1" applyAlignment="1">
      <alignment horizontal="center" vertical="center"/>
    </xf>
    <xf numFmtId="0" fontId="8" fillId="9" borderId="57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2" fontId="9" fillId="7" borderId="29" xfId="0" applyNumberFormat="1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29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2" fontId="9" fillId="7" borderId="33" xfId="0" applyNumberFormat="1" applyFont="1" applyFill="1" applyBorder="1" applyAlignment="1">
      <alignment horizontal="center" vertical="center"/>
    </xf>
    <xf numFmtId="0" fontId="9" fillId="10" borderId="57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9" borderId="22" xfId="0" applyFont="1" applyFill="1" applyBorder="1" applyAlignment="1">
      <alignment horizontal="center" vertical="center"/>
    </xf>
    <xf numFmtId="0" fontId="16" fillId="9" borderId="24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/>
    </xf>
    <xf numFmtId="0" fontId="16" fillId="9" borderId="29" xfId="0" applyFont="1" applyFill="1" applyBorder="1" applyAlignment="1">
      <alignment horizontal="center" vertical="center"/>
    </xf>
    <xf numFmtId="0" fontId="8" fillId="9" borderId="75" xfId="0" applyFont="1" applyFill="1" applyBorder="1" applyAlignment="1">
      <alignment horizontal="center" vertical="center"/>
    </xf>
    <xf numFmtId="0" fontId="8" fillId="9" borderId="39" xfId="0" applyFont="1" applyFill="1" applyBorder="1" applyAlignment="1">
      <alignment horizontal="center" vertical="center"/>
    </xf>
    <xf numFmtId="0" fontId="8" fillId="9" borderId="40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1" fontId="8" fillId="7" borderId="49" xfId="0" applyNumberFormat="1" applyFont="1" applyFill="1" applyBorder="1" applyAlignment="1">
      <alignment horizontal="center" vertical="center"/>
    </xf>
    <xf numFmtId="0" fontId="0" fillId="11" borderId="39" xfId="0" applyFill="1" applyBorder="1" applyAlignment="1">
      <alignment horizontal="center" vertical="center"/>
    </xf>
    <xf numFmtId="0" fontId="0" fillId="11" borderId="40" xfId="0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9" fillId="10" borderId="33" xfId="0" applyFont="1" applyFill="1" applyBorder="1" applyAlignment="1">
      <alignment horizontal="center" vertical="center"/>
    </xf>
    <xf numFmtId="0" fontId="0" fillId="8" borderId="10" xfId="0" applyFill="1" applyBorder="1"/>
    <xf numFmtId="0" fontId="0" fillId="11" borderId="31" xfId="0" applyFill="1" applyBorder="1" applyAlignment="1">
      <alignment horizontal="center" vertical="center"/>
    </xf>
    <xf numFmtId="0" fontId="0" fillId="11" borderId="33" xfId="0" applyFill="1" applyBorder="1" applyAlignment="1">
      <alignment horizontal="center" vertical="center"/>
    </xf>
    <xf numFmtId="0" fontId="0" fillId="0" borderId="18" xfId="0" applyBorder="1"/>
    <xf numFmtId="0" fontId="0" fillId="0" borderId="52" xfId="0" applyBorder="1"/>
    <xf numFmtId="0" fontId="0" fillId="8" borderId="5" xfId="0" applyFill="1" applyBorder="1"/>
    <xf numFmtId="2" fontId="9" fillId="10" borderId="24" xfId="0" applyNumberFormat="1" applyFont="1" applyFill="1" applyBorder="1" applyAlignment="1">
      <alignment horizontal="center" vertical="center"/>
    </xf>
    <xf numFmtId="2" fontId="9" fillId="10" borderId="29" xfId="0" applyNumberFormat="1" applyFont="1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/>
    </xf>
    <xf numFmtId="0" fontId="0" fillId="7" borderId="29" xfId="0" applyFill="1" applyBorder="1" applyAlignment="1">
      <alignment horizontal="center" vertical="center"/>
    </xf>
    <xf numFmtId="0" fontId="0" fillId="7" borderId="48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9" fillId="10" borderId="33" xfId="0" applyFont="1" applyFill="1" applyBorder="1" applyAlignment="1">
      <alignment horizontal="center"/>
    </xf>
    <xf numFmtId="0" fontId="18" fillId="10" borderId="20" xfId="0" applyFont="1" applyFill="1" applyBorder="1" applyAlignment="1">
      <alignment horizontal="distributed" vertical="center"/>
    </xf>
    <xf numFmtId="0" fontId="0" fillId="0" borderId="6" xfId="0" applyBorder="1" applyAlignment="1">
      <alignment vertical="center"/>
    </xf>
    <xf numFmtId="2" fontId="9" fillId="7" borderId="8" xfId="0" applyNumberFormat="1" applyFont="1" applyFill="1" applyBorder="1" applyAlignment="1">
      <alignment horizontal="center" vertical="center"/>
    </xf>
    <xf numFmtId="0" fontId="18" fillId="0" borderId="34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9" fillId="7" borderId="15" xfId="0" applyFont="1" applyFill="1" applyBorder="1" applyAlignment="1">
      <alignment horizontal="center" vertical="center"/>
    </xf>
    <xf numFmtId="0" fontId="0" fillId="0" borderId="20" xfId="0" applyBorder="1"/>
    <xf numFmtId="2" fontId="14" fillId="7" borderId="12" xfId="0" applyNumberFormat="1" applyFont="1" applyFill="1" applyBorder="1" applyAlignment="1">
      <alignment horizontal="center" vertical="center"/>
    </xf>
    <xf numFmtId="2" fontId="14" fillId="7" borderId="15" xfId="0" applyNumberFormat="1" applyFont="1" applyFill="1" applyBorder="1" applyAlignment="1">
      <alignment horizontal="center" vertical="center"/>
    </xf>
    <xf numFmtId="2" fontId="14" fillId="7" borderId="8" xfId="0" applyNumberFormat="1" applyFont="1" applyFill="1" applyBorder="1" applyAlignment="1">
      <alignment horizontal="center" vertical="center"/>
    </xf>
    <xf numFmtId="2" fontId="9" fillId="7" borderId="38" xfId="0" applyNumberFormat="1" applyFont="1" applyFill="1" applyBorder="1" applyAlignment="1">
      <alignment horizontal="center" vertical="center"/>
    </xf>
    <xf numFmtId="0" fontId="9" fillId="7" borderId="47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2"/>
  <sheetViews>
    <sheetView topLeftCell="A25" workbookViewId="0">
      <selection activeCell="O14" sqref="O14"/>
    </sheetView>
  </sheetViews>
  <sheetFormatPr defaultColWidth="9" defaultRowHeight="15"/>
  <cols>
    <col min="1" max="1" width="14.8571428571429" customWidth="1"/>
    <col min="2" max="2" width="9.14285714285714" style="186" customWidth="1"/>
    <col min="3" max="3" width="12.2857142857143" customWidth="1"/>
    <col min="4" max="4" width="10.8571428571429" style="187" customWidth="1"/>
    <col min="5" max="5" width="11.4285714285714" style="186" customWidth="1"/>
    <col min="6" max="6" width="11.7142857142857" customWidth="1"/>
    <col min="7" max="7" width="9.71428571428571" style="187" customWidth="1"/>
    <col min="8" max="8" width="10.8571428571429" style="186" customWidth="1"/>
    <col min="9" max="9" width="11.7142857142857" customWidth="1"/>
    <col min="10" max="10" width="13.4285714285714" style="187" customWidth="1"/>
    <col min="11" max="11" width="10.5714285714286" style="186" customWidth="1"/>
    <col min="12" max="12" width="16" style="187" customWidth="1"/>
    <col min="13" max="13" width="10.4285714285714" style="700" customWidth="1"/>
    <col min="14" max="14" width="13.1428571428571" style="186" customWidth="1"/>
    <col min="15" max="15" width="14.8571428571429" style="187" customWidth="1"/>
    <col min="16" max="16" width="9.14285714285714" style="700"/>
    <col min="17" max="17" width="16" style="287" customWidth="1"/>
  </cols>
  <sheetData>
    <row r="1" ht="35.25" customHeight="1" spans="1:17">
      <c r="A1" s="701" t="s">
        <v>0</v>
      </c>
      <c r="B1" s="702" t="s">
        <v>1</v>
      </c>
      <c r="C1" s="703"/>
      <c r="D1" s="704"/>
      <c r="E1" s="305" t="s">
        <v>2</v>
      </c>
      <c r="F1" s="306"/>
      <c r="G1" s="307"/>
      <c r="H1" s="702" t="s">
        <v>3</v>
      </c>
      <c r="I1" s="703"/>
      <c r="J1" s="704"/>
      <c r="K1" s="774" t="s">
        <v>4</v>
      </c>
      <c r="L1" s="775"/>
      <c r="M1" s="776"/>
      <c r="N1" s="777" t="s">
        <v>5</v>
      </c>
      <c r="O1" s="778" t="s">
        <v>6</v>
      </c>
      <c r="P1" s="776"/>
      <c r="Q1" s="826" t="s">
        <v>7</v>
      </c>
    </row>
    <row r="2" ht="30.75" customHeight="1" spans="1:17">
      <c r="A2" s="705">
        <v>2021</v>
      </c>
      <c r="B2" s="706" t="s">
        <v>8</v>
      </c>
      <c r="C2" s="707" t="s">
        <v>9</v>
      </c>
      <c r="D2" s="708" t="s">
        <v>10</v>
      </c>
      <c r="E2" s="706" t="s">
        <v>8</v>
      </c>
      <c r="F2" s="707" t="s">
        <v>9</v>
      </c>
      <c r="G2" s="708" t="s">
        <v>10</v>
      </c>
      <c r="H2" s="706" t="s">
        <v>8</v>
      </c>
      <c r="I2" s="707" t="s">
        <v>9</v>
      </c>
      <c r="J2" s="708" t="s">
        <v>10</v>
      </c>
      <c r="K2" s="779" t="s">
        <v>11</v>
      </c>
      <c r="L2" s="780" t="s">
        <v>12</v>
      </c>
      <c r="M2" s="781"/>
      <c r="N2" s="782"/>
      <c r="O2" s="783"/>
      <c r="P2" s="781"/>
      <c r="Q2" s="827"/>
    </row>
    <row r="3" ht="24.95" customHeight="1" spans="1:17">
      <c r="A3" s="709" t="s">
        <v>13</v>
      </c>
      <c r="B3" s="710">
        <v>507</v>
      </c>
      <c r="C3" s="711">
        <v>54643.98</v>
      </c>
      <c r="D3" s="712">
        <v>6919</v>
      </c>
      <c r="E3" s="710">
        <v>0</v>
      </c>
      <c r="F3" s="713">
        <v>0</v>
      </c>
      <c r="G3" s="712">
        <v>0</v>
      </c>
      <c r="H3" s="710">
        <v>74</v>
      </c>
      <c r="I3" s="713">
        <v>11032</v>
      </c>
      <c r="J3" s="784">
        <v>6700</v>
      </c>
      <c r="K3" s="785">
        <f>B3+H3</f>
        <v>581</v>
      </c>
      <c r="L3" s="786">
        <f>C3+D3+I3+J3</f>
        <v>79294.98</v>
      </c>
      <c r="M3" s="781"/>
      <c r="N3" s="787">
        <v>21</v>
      </c>
      <c r="O3" s="788">
        <v>647</v>
      </c>
      <c r="P3" s="789"/>
      <c r="Q3" s="828">
        <f t="shared" ref="Q3:Q14" si="0">L3+O3</f>
        <v>79941.98</v>
      </c>
    </row>
    <row r="4" ht="24.95" customHeight="1" spans="1:17">
      <c r="A4" s="714" t="s">
        <v>14</v>
      </c>
      <c r="B4" s="715">
        <v>554</v>
      </c>
      <c r="C4" s="716">
        <v>51363.14</v>
      </c>
      <c r="D4" s="717">
        <v>8107</v>
      </c>
      <c r="E4" s="715">
        <v>0</v>
      </c>
      <c r="F4" s="718">
        <v>0</v>
      </c>
      <c r="G4" s="717">
        <v>0</v>
      </c>
      <c r="H4" s="715">
        <v>57</v>
      </c>
      <c r="I4" s="716">
        <v>33527.36</v>
      </c>
      <c r="J4" s="735">
        <v>13343</v>
      </c>
      <c r="K4" s="790">
        <f>B4+H4</f>
        <v>611</v>
      </c>
      <c r="L4" s="791">
        <f>C4+D4+I4+J4</f>
        <v>106340.5</v>
      </c>
      <c r="M4" s="781"/>
      <c r="N4" s="792">
        <v>87</v>
      </c>
      <c r="O4" s="793">
        <v>2031</v>
      </c>
      <c r="P4" s="789"/>
      <c r="Q4" s="828">
        <f t="shared" si="0"/>
        <v>108371.5</v>
      </c>
    </row>
    <row r="5" ht="24.95" customHeight="1" spans="1:17">
      <c r="A5" s="714" t="s">
        <v>15</v>
      </c>
      <c r="B5" s="715">
        <v>470</v>
      </c>
      <c r="C5" s="716">
        <v>38923.15</v>
      </c>
      <c r="D5" s="717">
        <v>8079</v>
      </c>
      <c r="E5" s="715">
        <v>0</v>
      </c>
      <c r="F5" s="718">
        <v>0</v>
      </c>
      <c r="G5" s="717">
        <v>0</v>
      </c>
      <c r="H5" s="715">
        <v>40</v>
      </c>
      <c r="I5" s="716">
        <v>14244.44</v>
      </c>
      <c r="J5" s="735">
        <v>11590</v>
      </c>
      <c r="K5" s="790">
        <f>B5+H5</f>
        <v>510</v>
      </c>
      <c r="L5" s="791">
        <f>C5+D5+I5+J5</f>
        <v>72836.59</v>
      </c>
      <c r="M5" s="781"/>
      <c r="N5" s="792">
        <v>253</v>
      </c>
      <c r="O5" s="793">
        <v>5295</v>
      </c>
      <c r="P5" s="789"/>
      <c r="Q5" s="828">
        <f t="shared" si="0"/>
        <v>78131.59</v>
      </c>
    </row>
    <row r="6" ht="24.95" customHeight="1" spans="1:17">
      <c r="A6" s="714" t="s">
        <v>16</v>
      </c>
      <c r="B6" s="715">
        <v>357</v>
      </c>
      <c r="C6" s="716">
        <v>33027.72</v>
      </c>
      <c r="D6" s="717">
        <v>6228</v>
      </c>
      <c r="E6" s="715">
        <v>38</v>
      </c>
      <c r="F6" s="716">
        <v>5411.85</v>
      </c>
      <c r="G6" s="717">
        <v>470</v>
      </c>
      <c r="H6" s="715">
        <v>98</v>
      </c>
      <c r="I6" s="718">
        <v>1302</v>
      </c>
      <c r="J6" s="735">
        <v>7805</v>
      </c>
      <c r="K6" s="790">
        <f t="shared" ref="K6:K14" si="1">B6+E6+H6</f>
        <v>493</v>
      </c>
      <c r="L6" s="791">
        <f t="shared" ref="L6:L14" si="2">C6+D6+F6+G6+I6+J6</f>
        <v>54244.57</v>
      </c>
      <c r="M6" s="781"/>
      <c r="N6" s="792">
        <v>779</v>
      </c>
      <c r="O6" s="793">
        <v>17358</v>
      </c>
      <c r="P6" s="789"/>
      <c r="Q6" s="828">
        <f t="shared" si="0"/>
        <v>71602.57</v>
      </c>
    </row>
    <row r="7" ht="24.95" customHeight="1" spans="1:17">
      <c r="A7" s="714" t="s">
        <v>17</v>
      </c>
      <c r="B7" s="715">
        <v>436</v>
      </c>
      <c r="C7" s="716">
        <v>48903.4</v>
      </c>
      <c r="D7" s="717">
        <v>8314</v>
      </c>
      <c r="E7" s="715">
        <v>96</v>
      </c>
      <c r="F7" s="716">
        <v>14285.45</v>
      </c>
      <c r="G7" s="717">
        <v>423</v>
      </c>
      <c r="H7" s="715">
        <v>122</v>
      </c>
      <c r="I7" s="716">
        <v>5421.92</v>
      </c>
      <c r="J7" s="735">
        <v>9150</v>
      </c>
      <c r="K7" s="790">
        <f t="shared" si="1"/>
        <v>654</v>
      </c>
      <c r="L7" s="791">
        <f t="shared" si="2"/>
        <v>86497.77</v>
      </c>
      <c r="M7" s="781"/>
      <c r="N7" s="792">
        <v>423</v>
      </c>
      <c r="O7" s="793">
        <v>11640</v>
      </c>
      <c r="P7" s="789"/>
      <c r="Q7" s="828">
        <f t="shared" si="0"/>
        <v>98137.77</v>
      </c>
    </row>
    <row r="8" ht="24.95" customHeight="1" spans="1:17">
      <c r="A8" s="714" t="s">
        <v>18</v>
      </c>
      <c r="B8" s="715">
        <v>640</v>
      </c>
      <c r="C8" s="716">
        <v>58773.6</v>
      </c>
      <c r="D8" s="717">
        <v>7408</v>
      </c>
      <c r="E8" s="715">
        <v>147</v>
      </c>
      <c r="F8" s="716">
        <v>19324</v>
      </c>
      <c r="G8" s="717">
        <v>882</v>
      </c>
      <c r="H8" s="715">
        <v>145</v>
      </c>
      <c r="I8" s="716">
        <v>13687.68</v>
      </c>
      <c r="J8" s="735">
        <v>10080</v>
      </c>
      <c r="K8" s="790">
        <f t="shared" si="1"/>
        <v>932</v>
      </c>
      <c r="L8" s="791">
        <f t="shared" si="2"/>
        <v>110155.28</v>
      </c>
      <c r="M8" s="781"/>
      <c r="N8" s="792">
        <v>398</v>
      </c>
      <c r="O8" s="793">
        <v>12600</v>
      </c>
      <c r="P8" s="789"/>
      <c r="Q8" s="828">
        <f t="shared" si="0"/>
        <v>122755.28</v>
      </c>
    </row>
    <row r="9" ht="24.95" customHeight="1" spans="1:17">
      <c r="A9" s="714" t="s">
        <v>19</v>
      </c>
      <c r="B9" s="715">
        <v>642</v>
      </c>
      <c r="C9" s="716">
        <v>50421.97</v>
      </c>
      <c r="D9" s="717">
        <v>6278.5</v>
      </c>
      <c r="E9" s="715">
        <v>154</v>
      </c>
      <c r="F9" s="716">
        <v>19072.75</v>
      </c>
      <c r="G9" s="717">
        <v>980</v>
      </c>
      <c r="H9" s="715">
        <v>113</v>
      </c>
      <c r="I9" s="716">
        <v>4105.68</v>
      </c>
      <c r="J9" s="735">
        <v>10075</v>
      </c>
      <c r="K9" s="790">
        <f t="shared" si="1"/>
        <v>909</v>
      </c>
      <c r="L9" s="791">
        <f t="shared" si="2"/>
        <v>90933.9</v>
      </c>
      <c r="M9" s="781"/>
      <c r="N9" s="792">
        <v>479</v>
      </c>
      <c r="O9" s="793">
        <v>14575</v>
      </c>
      <c r="P9" s="789"/>
      <c r="Q9" s="828">
        <f t="shared" si="0"/>
        <v>105508.9</v>
      </c>
    </row>
    <row r="10" ht="24.95" customHeight="1" spans="1:17">
      <c r="A10" s="714" t="s">
        <v>20</v>
      </c>
      <c r="B10" s="715">
        <v>644</v>
      </c>
      <c r="C10" s="716">
        <v>53485.12</v>
      </c>
      <c r="D10" s="717">
        <v>5166</v>
      </c>
      <c r="E10" s="715">
        <v>232</v>
      </c>
      <c r="F10" s="716">
        <v>30014.63</v>
      </c>
      <c r="G10" s="717">
        <v>663</v>
      </c>
      <c r="H10" s="715">
        <v>155</v>
      </c>
      <c r="I10" s="716">
        <v>14326.96</v>
      </c>
      <c r="J10" s="735">
        <v>10420</v>
      </c>
      <c r="K10" s="790">
        <f t="shared" si="1"/>
        <v>1031</v>
      </c>
      <c r="L10" s="791">
        <f t="shared" si="2"/>
        <v>114075.71</v>
      </c>
      <c r="M10" s="781"/>
      <c r="N10" s="792">
        <v>440</v>
      </c>
      <c r="O10" s="793">
        <v>11975</v>
      </c>
      <c r="P10" s="789"/>
      <c r="Q10" s="828">
        <f t="shared" si="0"/>
        <v>126050.71</v>
      </c>
    </row>
    <row r="11" ht="24.95" customHeight="1" spans="1:17">
      <c r="A11" s="714" t="s">
        <v>21</v>
      </c>
      <c r="B11" s="715">
        <v>676</v>
      </c>
      <c r="C11" s="718">
        <v>55903</v>
      </c>
      <c r="D11" s="717">
        <v>4925</v>
      </c>
      <c r="E11" s="715">
        <v>233</v>
      </c>
      <c r="F11" s="716">
        <v>26214.38</v>
      </c>
      <c r="G11" s="717">
        <v>2672</v>
      </c>
      <c r="H11" s="715">
        <v>143</v>
      </c>
      <c r="I11" s="716">
        <v>19019.04</v>
      </c>
      <c r="J11" s="735">
        <v>10950</v>
      </c>
      <c r="K11" s="790">
        <f t="shared" si="1"/>
        <v>1052</v>
      </c>
      <c r="L11" s="791">
        <f t="shared" si="2"/>
        <v>119683.42</v>
      </c>
      <c r="M11" s="781"/>
      <c r="N11" s="792">
        <v>474</v>
      </c>
      <c r="O11" s="793">
        <v>10215</v>
      </c>
      <c r="P11" s="789"/>
      <c r="Q11" s="828">
        <f t="shared" si="0"/>
        <v>129898.42</v>
      </c>
    </row>
    <row r="12" ht="24.95" customHeight="1" spans="1:17">
      <c r="A12" s="714" t="s">
        <v>22</v>
      </c>
      <c r="B12" s="715">
        <v>715</v>
      </c>
      <c r="C12" s="716">
        <v>58388.11</v>
      </c>
      <c r="D12" s="717">
        <v>5121</v>
      </c>
      <c r="E12" s="715">
        <v>229</v>
      </c>
      <c r="F12" s="716">
        <v>26280.45</v>
      </c>
      <c r="G12" s="717">
        <v>1077</v>
      </c>
      <c r="H12" s="715">
        <v>155</v>
      </c>
      <c r="I12" s="716">
        <v>30595.92</v>
      </c>
      <c r="J12" s="735">
        <v>12050</v>
      </c>
      <c r="K12" s="790">
        <f t="shared" si="1"/>
        <v>1099</v>
      </c>
      <c r="L12" s="791">
        <f t="shared" si="2"/>
        <v>133512.48</v>
      </c>
      <c r="M12" s="781"/>
      <c r="N12" s="792">
        <v>502</v>
      </c>
      <c r="O12" s="793">
        <v>11585</v>
      </c>
      <c r="P12" s="789"/>
      <c r="Q12" s="828">
        <f t="shared" si="0"/>
        <v>145097.48</v>
      </c>
    </row>
    <row r="13" ht="24.95" customHeight="1" spans="1:17">
      <c r="A13" s="714" t="s">
        <v>23</v>
      </c>
      <c r="B13" s="715">
        <v>586</v>
      </c>
      <c r="C13" s="716">
        <v>57315.33</v>
      </c>
      <c r="D13" s="717">
        <v>13418</v>
      </c>
      <c r="E13" s="715">
        <v>213</v>
      </c>
      <c r="F13" s="718">
        <v>23131</v>
      </c>
      <c r="G13" s="717">
        <v>947</v>
      </c>
      <c r="H13" s="715">
        <v>184</v>
      </c>
      <c r="I13" s="716">
        <v>48860.16</v>
      </c>
      <c r="J13" s="735">
        <v>8850</v>
      </c>
      <c r="K13" s="790">
        <f t="shared" si="1"/>
        <v>983</v>
      </c>
      <c r="L13" s="791">
        <f t="shared" si="2"/>
        <v>152521.49</v>
      </c>
      <c r="M13" s="781"/>
      <c r="N13" s="792">
        <v>193</v>
      </c>
      <c r="O13" s="793">
        <v>4530</v>
      </c>
      <c r="P13" s="789"/>
      <c r="Q13" s="828">
        <f t="shared" si="0"/>
        <v>157051.49</v>
      </c>
    </row>
    <row r="14" ht="24.95" customHeight="1" spans="1:17">
      <c r="A14" s="719" t="s">
        <v>24</v>
      </c>
      <c r="B14" s="720">
        <v>556</v>
      </c>
      <c r="C14" s="721">
        <v>36919.64</v>
      </c>
      <c r="D14" s="722">
        <v>3377</v>
      </c>
      <c r="E14" s="720">
        <v>255</v>
      </c>
      <c r="F14" s="721">
        <v>28784.24</v>
      </c>
      <c r="G14" s="722">
        <v>2030</v>
      </c>
      <c r="H14" s="720">
        <v>96</v>
      </c>
      <c r="I14" s="721">
        <v>43269.84</v>
      </c>
      <c r="J14" s="756">
        <v>3790</v>
      </c>
      <c r="K14" s="794">
        <f t="shared" si="1"/>
        <v>907</v>
      </c>
      <c r="L14" s="795">
        <f t="shared" si="2"/>
        <v>118170.72</v>
      </c>
      <c r="M14" s="781"/>
      <c r="N14" s="698">
        <v>513</v>
      </c>
      <c r="O14" s="699">
        <v>15230</v>
      </c>
      <c r="P14" s="789"/>
      <c r="Q14" s="828">
        <f t="shared" si="0"/>
        <v>133400.72</v>
      </c>
    </row>
    <row r="15" ht="24.95" customHeight="1" spans="1:17">
      <c r="A15" s="364"/>
      <c r="B15" s="550"/>
      <c r="C15" s="104"/>
      <c r="D15" s="105"/>
      <c r="E15" s="550"/>
      <c r="F15" s="104"/>
      <c r="G15" s="105"/>
      <c r="H15" s="550"/>
      <c r="I15" s="104"/>
      <c r="J15" s="105"/>
      <c r="K15" s="550"/>
      <c r="L15" s="105"/>
      <c r="M15" s="781"/>
      <c r="N15" s="550"/>
      <c r="O15" s="105"/>
      <c r="P15" s="781"/>
      <c r="Q15" s="829"/>
    </row>
    <row r="16" ht="24.95" customHeight="1" spans="1:17">
      <c r="A16" s="550"/>
      <c r="B16" s="550"/>
      <c r="C16" s="104"/>
      <c r="D16" s="105"/>
      <c r="E16" s="550"/>
      <c r="F16" s="104"/>
      <c r="G16" s="105"/>
      <c r="H16" s="550"/>
      <c r="I16" s="104"/>
      <c r="J16" s="105"/>
      <c r="K16" s="550"/>
      <c r="L16" s="105"/>
      <c r="M16" s="781"/>
      <c r="N16" s="550"/>
      <c r="O16" s="105"/>
      <c r="P16" s="781"/>
      <c r="Q16" s="829"/>
    </row>
    <row r="17" ht="24.95" customHeight="1" spans="1:17">
      <c r="A17" s="723">
        <v>2022</v>
      </c>
      <c r="B17" s="724"/>
      <c r="C17" s="724"/>
      <c r="D17" s="725"/>
      <c r="E17" s="726"/>
      <c r="F17" s="724"/>
      <c r="G17" s="725"/>
      <c r="H17" s="724"/>
      <c r="I17" s="724"/>
      <c r="J17" s="725"/>
      <c r="K17" s="726"/>
      <c r="L17" s="725"/>
      <c r="M17" s="781"/>
      <c r="N17" s="726"/>
      <c r="O17" s="725"/>
      <c r="P17" s="781"/>
      <c r="Q17" s="830"/>
    </row>
    <row r="18" ht="24.95" customHeight="1" spans="1:17">
      <c r="A18" s="727" t="s">
        <v>13</v>
      </c>
      <c r="B18" s="574">
        <v>614</v>
      </c>
      <c r="C18" s="728">
        <v>42207.53</v>
      </c>
      <c r="D18" s="729">
        <v>4490</v>
      </c>
      <c r="E18" s="730">
        <v>183</v>
      </c>
      <c r="F18" s="731">
        <v>18115.97</v>
      </c>
      <c r="G18" s="732">
        <v>655</v>
      </c>
      <c r="H18" s="574">
        <v>68</v>
      </c>
      <c r="I18" s="731">
        <v>11782.4</v>
      </c>
      <c r="J18" s="729">
        <v>4070</v>
      </c>
      <c r="K18" s="785">
        <f>B18+E18+H18</f>
        <v>865</v>
      </c>
      <c r="L18" s="796">
        <f>C18+D18+F18+G18+I18+J18</f>
        <v>81320.9</v>
      </c>
      <c r="M18" s="797"/>
      <c r="N18" s="798">
        <v>736</v>
      </c>
      <c r="O18" s="799">
        <v>17795</v>
      </c>
      <c r="P18" s="781"/>
      <c r="Q18" s="831">
        <f t="shared" ref="Q18:Q29" si="3">L18+O18</f>
        <v>99115.9</v>
      </c>
    </row>
    <row r="19" ht="24.95" customHeight="1" spans="1:17">
      <c r="A19" s="733" t="s">
        <v>14</v>
      </c>
      <c r="B19" s="715">
        <v>549</v>
      </c>
      <c r="C19" s="734">
        <v>38624.6</v>
      </c>
      <c r="D19" s="735">
        <v>2926</v>
      </c>
      <c r="E19" s="736">
        <v>200</v>
      </c>
      <c r="F19" s="737">
        <v>19935.96</v>
      </c>
      <c r="G19" s="738">
        <v>1934</v>
      </c>
      <c r="H19" s="715">
        <v>134</v>
      </c>
      <c r="I19" s="737">
        <v>14905.2</v>
      </c>
      <c r="J19" s="735">
        <v>9644</v>
      </c>
      <c r="K19" s="790">
        <f>B19+E19+H19</f>
        <v>883</v>
      </c>
      <c r="L19" s="800">
        <f t="shared" ref="L19:L24" si="4">C19+D19+F19+G19+I19+J19</f>
        <v>87969.76</v>
      </c>
      <c r="M19" s="797"/>
      <c r="N19" s="801">
        <v>388</v>
      </c>
      <c r="O19" s="802">
        <v>9450</v>
      </c>
      <c r="P19" s="781"/>
      <c r="Q19" s="831">
        <f t="shared" si="3"/>
        <v>97419.76</v>
      </c>
    </row>
    <row r="20" ht="24.95" customHeight="1" spans="1:17">
      <c r="A20" s="733" t="s">
        <v>15</v>
      </c>
      <c r="B20" s="715">
        <v>731</v>
      </c>
      <c r="C20" s="734">
        <v>51217.74</v>
      </c>
      <c r="D20" s="735">
        <v>3981</v>
      </c>
      <c r="E20" s="736">
        <v>191</v>
      </c>
      <c r="F20" s="737">
        <v>18070.97</v>
      </c>
      <c r="G20" s="738">
        <v>705</v>
      </c>
      <c r="H20" s="715">
        <v>157</v>
      </c>
      <c r="I20" s="737">
        <v>24089.3</v>
      </c>
      <c r="J20" s="735">
        <v>11520</v>
      </c>
      <c r="K20" s="790">
        <f>B20+E20+H20</f>
        <v>1079</v>
      </c>
      <c r="L20" s="800">
        <f t="shared" si="4"/>
        <v>109584.01</v>
      </c>
      <c r="M20" s="797"/>
      <c r="N20" s="801">
        <v>224</v>
      </c>
      <c r="O20" s="802">
        <v>6267</v>
      </c>
      <c r="P20" s="781"/>
      <c r="Q20" s="831">
        <f t="shared" si="3"/>
        <v>115851.01</v>
      </c>
    </row>
    <row r="21" ht="24.95" customHeight="1" spans="1:17">
      <c r="A21" s="733" t="s">
        <v>16</v>
      </c>
      <c r="B21" s="715">
        <v>506</v>
      </c>
      <c r="C21" s="734">
        <v>30532.14</v>
      </c>
      <c r="D21" s="735">
        <v>3385</v>
      </c>
      <c r="E21" s="736">
        <v>95</v>
      </c>
      <c r="F21" s="737">
        <v>7382.47</v>
      </c>
      <c r="G21" s="738">
        <v>850</v>
      </c>
      <c r="H21" s="715">
        <v>136</v>
      </c>
      <c r="I21" s="737">
        <v>13396.07</v>
      </c>
      <c r="J21" s="735">
        <v>10670</v>
      </c>
      <c r="K21" s="790">
        <f>B21+E21+H21</f>
        <v>737</v>
      </c>
      <c r="L21" s="800">
        <f t="shared" si="4"/>
        <v>66215.68</v>
      </c>
      <c r="M21" s="797"/>
      <c r="N21" s="801">
        <v>111</v>
      </c>
      <c r="O21" s="802">
        <v>1983</v>
      </c>
      <c r="P21" s="781"/>
      <c r="Q21" s="831">
        <f t="shared" si="3"/>
        <v>68198.68</v>
      </c>
    </row>
    <row r="22" ht="24.95" customHeight="1" spans="1:17">
      <c r="A22" s="733" t="s">
        <v>17</v>
      </c>
      <c r="B22" s="715">
        <v>609</v>
      </c>
      <c r="C22" s="734">
        <v>36477.61</v>
      </c>
      <c r="D22" s="735">
        <v>5538</v>
      </c>
      <c r="E22" s="736">
        <v>198</v>
      </c>
      <c r="F22" s="737">
        <v>20652.17</v>
      </c>
      <c r="G22" s="738">
        <v>1080</v>
      </c>
      <c r="H22" s="739">
        <v>157</v>
      </c>
      <c r="I22" s="769">
        <v>13705.5</v>
      </c>
      <c r="J22" s="770">
        <v>11400</v>
      </c>
      <c r="K22" s="790">
        <v>964</v>
      </c>
      <c r="L22" s="800">
        <f t="shared" si="4"/>
        <v>88853.28</v>
      </c>
      <c r="M22" s="781"/>
      <c r="N22" s="787">
        <v>47</v>
      </c>
      <c r="O22" s="788">
        <v>1109</v>
      </c>
      <c r="P22" s="781"/>
      <c r="Q22" s="831">
        <f t="shared" si="3"/>
        <v>89962.28</v>
      </c>
    </row>
    <row r="23" ht="24.95" customHeight="1" spans="1:17">
      <c r="A23" s="733" t="s">
        <v>18</v>
      </c>
      <c r="B23" s="715">
        <v>907</v>
      </c>
      <c r="C23" s="734">
        <v>61877.59</v>
      </c>
      <c r="D23" s="740">
        <v>4780</v>
      </c>
      <c r="E23" s="741">
        <v>131</v>
      </c>
      <c r="F23" s="737">
        <v>14913.36</v>
      </c>
      <c r="G23" s="742">
        <v>120</v>
      </c>
      <c r="H23" s="743">
        <v>126</v>
      </c>
      <c r="I23" s="737">
        <v>19814.4</v>
      </c>
      <c r="J23" s="740">
        <v>8930</v>
      </c>
      <c r="K23" s="790">
        <v>1164</v>
      </c>
      <c r="L23" s="800">
        <f t="shared" si="4"/>
        <v>110435.35</v>
      </c>
      <c r="M23" s="781"/>
      <c r="N23" s="792">
        <v>182</v>
      </c>
      <c r="O23" s="803">
        <v>3632</v>
      </c>
      <c r="P23" s="781"/>
      <c r="Q23" s="831">
        <f t="shared" si="3"/>
        <v>114067.35</v>
      </c>
    </row>
    <row r="24" ht="24.95" customHeight="1" spans="1:17">
      <c r="A24" s="733" t="s">
        <v>19</v>
      </c>
      <c r="B24" s="715">
        <v>862</v>
      </c>
      <c r="C24" s="734">
        <v>57563.52</v>
      </c>
      <c r="D24" s="740">
        <v>4665</v>
      </c>
      <c r="E24" s="741">
        <v>260</v>
      </c>
      <c r="F24" s="737">
        <v>28320.87</v>
      </c>
      <c r="G24" s="742">
        <v>1380</v>
      </c>
      <c r="H24" s="743">
        <v>95</v>
      </c>
      <c r="I24" s="737">
        <v>7009.2</v>
      </c>
      <c r="J24" s="740">
        <v>8260</v>
      </c>
      <c r="K24" s="790">
        <v>1212</v>
      </c>
      <c r="L24" s="800">
        <f t="shared" si="4"/>
        <v>107198.59</v>
      </c>
      <c r="M24" s="781"/>
      <c r="N24" s="792">
        <v>182</v>
      </c>
      <c r="O24" s="793">
        <v>3696</v>
      </c>
      <c r="P24" s="781"/>
      <c r="Q24" s="831">
        <f t="shared" si="3"/>
        <v>110894.59</v>
      </c>
    </row>
    <row r="25" ht="24.95" customHeight="1" spans="1:17">
      <c r="A25" s="733" t="s">
        <v>25</v>
      </c>
      <c r="B25" s="715">
        <v>1098</v>
      </c>
      <c r="C25" s="734">
        <v>73983.98</v>
      </c>
      <c r="D25" s="735">
        <v>4045</v>
      </c>
      <c r="E25" s="736">
        <v>73</v>
      </c>
      <c r="F25" s="737">
        <v>6216.84</v>
      </c>
      <c r="G25" s="738">
        <v>440</v>
      </c>
      <c r="H25" s="715">
        <v>151</v>
      </c>
      <c r="I25" s="737">
        <v>26371.2</v>
      </c>
      <c r="J25" s="735">
        <v>8610</v>
      </c>
      <c r="K25" s="790">
        <v>1322</v>
      </c>
      <c r="L25" s="800">
        <f t="shared" ref="L25:L29" si="5">C25+D25+F25+G25+I25+J25</f>
        <v>119667.02</v>
      </c>
      <c r="M25" s="781"/>
      <c r="N25" s="804">
        <v>73</v>
      </c>
      <c r="O25" s="805">
        <v>2068</v>
      </c>
      <c r="P25" s="781"/>
      <c r="Q25" s="831">
        <f t="shared" si="3"/>
        <v>121735.02</v>
      </c>
    </row>
    <row r="26" ht="28.5" customHeight="1" spans="1:17">
      <c r="A26" s="744" t="s">
        <v>26</v>
      </c>
      <c r="B26" s="715">
        <v>967</v>
      </c>
      <c r="C26" s="745">
        <v>61765.82</v>
      </c>
      <c r="D26" s="746">
        <v>5590</v>
      </c>
      <c r="E26" s="747">
        <v>244</v>
      </c>
      <c r="F26" s="748">
        <v>20948.91</v>
      </c>
      <c r="G26" s="749">
        <v>1820</v>
      </c>
      <c r="H26" s="750">
        <v>107</v>
      </c>
      <c r="I26" s="748">
        <v>24774.1</v>
      </c>
      <c r="J26" s="746">
        <v>8090</v>
      </c>
      <c r="K26" s="806">
        <v>1318</v>
      </c>
      <c r="L26" s="800">
        <f t="shared" si="5"/>
        <v>122988.83</v>
      </c>
      <c r="M26" s="781"/>
      <c r="N26" s="804">
        <v>64</v>
      </c>
      <c r="O26" s="805">
        <v>1621</v>
      </c>
      <c r="P26" s="789"/>
      <c r="Q26" s="831">
        <f t="shared" si="3"/>
        <v>124609.83</v>
      </c>
    </row>
    <row r="27" ht="23.25" customHeight="1" spans="1:17">
      <c r="A27" s="744" t="s">
        <v>27</v>
      </c>
      <c r="B27" s="750">
        <v>1022</v>
      </c>
      <c r="C27" s="751">
        <v>57637.97</v>
      </c>
      <c r="D27" s="746">
        <v>4465</v>
      </c>
      <c r="E27" s="752">
        <v>271</v>
      </c>
      <c r="F27" s="748">
        <v>24286.7</v>
      </c>
      <c r="G27" s="749">
        <v>270</v>
      </c>
      <c r="H27" s="753">
        <v>132</v>
      </c>
      <c r="I27" s="807">
        <v>38602</v>
      </c>
      <c r="J27" s="746">
        <v>8610</v>
      </c>
      <c r="K27" s="806">
        <v>1425</v>
      </c>
      <c r="L27" s="800">
        <f t="shared" si="5"/>
        <v>133871.67</v>
      </c>
      <c r="M27" s="781"/>
      <c r="N27" s="808">
        <v>30</v>
      </c>
      <c r="O27" s="809">
        <v>1111</v>
      </c>
      <c r="P27" s="781"/>
      <c r="Q27" s="831">
        <f t="shared" si="3"/>
        <v>134982.67</v>
      </c>
    </row>
    <row r="28" ht="27.75" customHeight="1" spans="1:17">
      <c r="A28" s="733" t="s">
        <v>28</v>
      </c>
      <c r="B28" s="750">
        <v>1008</v>
      </c>
      <c r="C28" s="748">
        <v>53506.4</v>
      </c>
      <c r="D28" s="746">
        <v>4340</v>
      </c>
      <c r="E28" s="747">
        <v>201</v>
      </c>
      <c r="F28" s="748">
        <v>14770.11</v>
      </c>
      <c r="G28" s="749">
        <v>525</v>
      </c>
      <c r="H28" s="750">
        <v>131</v>
      </c>
      <c r="I28" s="748">
        <v>40143.2</v>
      </c>
      <c r="J28" s="746">
        <v>7415</v>
      </c>
      <c r="K28" s="806">
        <v>1340</v>
      </c>
      <c r="L28" s="800">
        <f t="shared" si="5"/>
        <v>120699.71</v>
      </c>
      <c r="N28" s="808">
        <v>107</v>
      </c>
      <c r="O28" s="809">
        <v>3168</v>
      </c>
      <c r="Q28" s="831">
        <f t="shared" si="3"/>
        <v>123867.71</v>
      </c>
    </row>
    <row r="29" ht="21" customHeight="1" spans="1:17">
      <c r="A29" s="754" t="s">
        <v>29</v>
      </c>
      <c r="B29" s="720">
        <v>911</v>
      </c>
      <c r="C29" s="755">
        <v>47840.15</v>
      </c>
      <c r="D29" s="756">
        <v>3700</v>
      </c>
      <c r="E29" s="757">
        <v>410</v>
      </c>
      <c r="F29" s="755">
        <v>31224.86</v>
      </c>
      <c r="G29" s="758">
        <v>2664</v>
      </c>
      <c r="H29" s="720">
        <v>151</v>
      </c>
      <c r="I29" s="755">
        <v>61011.8</v>
      </c>
      <c r="J29" s="756">
        <v>7530</v>
      </c>
      <c r="K29" s="810">
        <v>1472</v>
      </c>
      <c r="L29" s="811">
        <f t="shared" si="5"/>
        <v>153970.81</v>
      </c>
      <c r="M29" s="812"/>
      <c r="N29" s="813">
        <v>41</v>
      </c>
      <c r="O29" s="814">
        <v>1085</v>
      </c>
      <c r="P29" s="812"/>
      <c r="Q29" s="831">
        <f t="shared" si="3"/>
        <v>155055.81</v>
      </c>
    </row>
    <row r="30" spans="5:5">
      <c r="E30" s="759"/>
    </row>
    <row r="31" ht="15.75"/>
    <row r="32" ht="24" customHeight="1" spans="1:17">
      <c r="A32" s="760">
        <v>2023</v>
      </c>
      <c r="B32" s="761"/>
      <c r="C32" s="762"/>
      <c r="D32" s="763"/>
      <c r="E32" s="761"/>
      <c r="F32" s="762"/>
      <c r="G32" s="763"/>
      <c r="H32" s="761"/>
      <c r="I32" s="762"/>
      <c r="J32" s="763"/>
      <c r="K32" s="815"/>
      <c r="L32" s="816"/>
      <c r="M32" s="817"/>
      <c r="N32" s="815"/>
      <c r="O32" s="816"/>
      <c r="P32" s="817"/>
      <c r="Q32" s="832"/>
    </row>
    <row r="33" ht="24.75" customHeight="1" spans="1:17">
      <c r="A33" s="764" t="s">
        <v>13</v>
      </c>
      <c r="B33" s="765">
        <v>854</v>
      </c>
      <c r="C33" s="766">
        <v>55081.29</v>
      </c>
      <c r="D33" s="767">
        <v>3236</v>
      </c>
      <c r="E33" s="765">
        <v>422</v>
      </c>
      <c r="F33" s="766">
        <v>46559.26</v>
      </c>
      <c r="G33" s="767">
        <v>2446</v>
      </c>
      <c r="H33" s="765">
        <v>92</v>
      </c>
      <c r="I33" s="766">
        <v>24135.68</v>
      </c>
      <c r="J33" s="767">
        <v>7220</v>
      </c>
      <c r="K33" s="498">
        <f>B33+E33+H33</f>
        <v>1368</v>
      </c>
      <c r="L33" s="818">
        <f>C33+D33+F33+G33+I33+J33</f>
        <v>138678.23</v>
      </c>
      <c r="M33" s="631"/>
      <c r="N33" s="694">
        <v>66</v>
      </c>
      <c r="O33" s="695">
        <v>1625</v>
      </c>
      <c r="P33" s="631"/>
      <c r="Q33" s="833">
        <f>L33+O33</f>
        <v>140303.23</v>
      </c>
    </row>
    <row r="34" ht="22.5" customHeight="1" spans="1:17">
      <c r="A34" s="768" t="s">
        <v>14</v>
      </c>
      <c r="B34" s="739">
        <v>856</v>
      </c>
      <c r="C34" s="769">
        <v>49229.59</v>
      </c>
      <c r="D34" s="770">
        <v>2985</v>
      </c>
      <c r="E34" s="739">
        <v>321</v>
      </c>
      <c r="F34" s="769">
        <v>56202.29</v>
      </c>
      <c r="G34" s="770">
        <v>1780</v>
      </c>
      <c r="H34" s="739">
        <v>108</v>
      </c>
      <c r="I34" s="769">
        <v>20028.8</v>
      </c>
      <c r="J34" s="770">
        <v>9650</v>
      </c>
      <c r="K34" s="790">
        <f t="shared" ref="K34:K42" si="6">B34+E34+H34</f>
        <v>1285</v>
      </c>
      <c r="L34" s="819">
        <f t="shared" ref="L34:L42" si="7">C34+D34+F34+G34+I34+J34</f>
        <v>139875.68</v>
      </c>
      <c r="N34" s="792">
        <v>22</v>
      </c>
      <c r="O34" s="793">
        <v>388</v>
      </c>
      <c r="P34" s="631"/>
      <c r="Q34" s="834">
        <f t="shared" ref="Q34:Q42" si="8">L34+O34</f>
        <v>140263.68</v>
      </c>
    </row>
    <row r="35" ht="21" customHeight="1" spans="1:17">
      <c r="A35" s="768" t="s">
        <v>30</v>
      </c>
      <c r="B35" s="739">
        <v>830</v>
      </c>
      <c r="C35" s="769">
        <v>45133.58</v>
      </c>
      <c r="D35" s="770">
        <v>3215</v>
      </c>
      <c r="E35" s="739">
        <v>288</v>
      </c>
      <c r="F35" s="769">
        <v>51281.45</v>
      </c>
      <c r="G35" s="770">
        <v>470</v>
      </c>
      <c r="H35" s="739">
        <v>130</v>
      </c>
      <c r="I35" s="769">
        <v>22754.7</v>
      </c>
      <c r="J35" s="770">
        <v>9790</v>
      </c>
      <c r="K35" s="790">
        <f t="shared" si="6"/>
        <v>1248</v>
      </c>
      <c r="L35" s="819">
        <f t="shared" si="7"/>
        <v>132644.73</v>
      </c>
      <c r="N35" s="792">
        <v>13</v>
      </c>
      <c r="O35" s="793">
        <v>325</v>
      </c>
      <c r="P35" s="631"/>
      <c r="Q35" s="834">
        <f t="shared" si="8"/>
        <v>132969.73</v>
      </c>
    </row>
    <row r="36" ht="23.25" customHeight="1" spans="1:17">
      <c r="A36" s="768" t="s">
        <v>31</v>
      </c>
      <c r="B36" s="739">
        <v>645</v>
      </c>
      <c r="C36" s="769">
        <v>32952.54</v>
      </c>
      <c r="D36" s="770">
        <v>2130</v>
      </c>
      <c r="E36" s="739">
        <v>252</v>
      </c>
      <c r="F36" s="769">
        <v>24435.32</v>
      </c>
      <c r="G36" s="770">
        <v>910</v>
      </c>
      <c r="H36" s="739">
        <v>18</v>
      </c>
      <c r="I36" s="769">
        <v>232</v>
      </c>
      <c r="J36" s="770">
        <v>2070</v>
      </c>
      <c r="K36" s="790">
        <f t="shared" si="6"/>
        <v>915</v>
      </c>
      <c r="L36" s="819">
        <f t="shared" si="7"/>
        <v>62729.86</v>
      </c>
      <c r="N36" s="792" t="s">
        <v>32</v>
      </c>
      <c r="O36" s="793"/>
      <c r="P36" s="631"/>
      <c r="Q36" s="835">
        <f t="shared" si="8"/>
        <v>62729.86</v>
      </c>
    </row>
    <row r="37" ht="20.25" customHeight="1" spans="1:17">
      <c r="A37" s="768" t="s">
        <v>17</v>
      </c>
      <c r="B37" s="739">
        <v>871</v>
      </c>
      <c r="C37" s="769">
        <v>47626.06</v>
      </c>
      <c r="D37" s="770">
        <v>2455</v>
      </c>
      <c r="E37" s="739">
        <v>234</v>
      </c>
      <c r="F37" s="769">
        <v>28489.4</v>
      </c>
      <c r="G37" s="770">
        <v>2785</v>
      </c>
      <c r="H37" s="739">
        <v>185</v>
      </c>
      <c r="I37" s="769">
        <v>29194</v>
      </c>
      <c r="J37" s="770">
        <v>13640</v>
      </c>
      <c r="K37" s="790">
        <f t="shared" si="6"/>
        <v>1290</v>
      </c>
      <c r="L37" s="819">
        <f t="shared" si="7"/>
        <v>124189.46</v>
      </c>
      <c r="N37" s="698" t="s">
        <v>32</v>
      </c>
      <c r="O37" s="699"/>
      <c r="Q37" s="836">
        <f t="shared" si="8"/>
        <v>124189.46</v>
      </c>
    </row>
    <row r="38" ht="22.5" customHeight="1" spans="1:17">
      <c r="A38" s="768" t="s">
        <v>18</v>
      </c>
      <c r="B38" s="715">
        <v>856</v>
      </c>
      <c r="C38" s="737">
        <v>57714.58</v>
      </c>
      <c r="D38" s="735">
        <v>4042</v>
      </c>
      <c r="E38" s="771">
        <v>195</v>
      </c>
      <c r="F38" s="737">
        <v>24997.9</v>
      </c>
      <c r="G38" s="735">
        <v>1610</v>
      </c>
      <c r="H38" s="771">
        <v>121</v>
      </c>
      <c r="I38" s="820">
        <v>14615.8</v>
      </c>
      <c r="J38" s="735">
        <v>11704</v>
      </c>
      <c r="K38" s="790">
        <f t="shared" si="6"/>
        <v>1172</v>
      </c>
      <c r="L38" s="821">
        <f t="shared" si="7"/>
        <v>114684.28</v>
      </c>
      <c r="N38" s="792" t="s">
        <v>32</v>
      </c>
      <c r="O38" s="793"/>
      <c r="Q38" s="837">
        <f t="shared" si="8"/>
        <v>114684.28</v>
      </c>
    </row>
    <row r="39" ht="21" customHeight="1" spans="1:17">
      <c r="A39" s="768" t="s">
        <v>19</v>
      </c>
      <c r="B39" s="715">
        <v>1210</v>
      </c>
      <c r="C39" s="737">
        <v>85123</v>
      </c>
      <c r="D39" s="735">
        <v>3165</v>
      </c>
      <c r="E39" s="771">
        <v>272</v>
      </c>
      <c r="F39" s="737">
        <v>31859.53</v>
      </c>
      <c r="G39" s="735">
        <v>1100</v>
      </c>
      <c r="H39" s="771">
        <v>136</v>
      </c>
      <c r="I39" s="820">
        <v>18077.6</v>
      </c>
      <c r="J39" s="822">
        <v>11855</v>
      </c>
      <c r="K39" s="790">
        <f t="shared" si="6"/>
        <v>1618</v>
      </c>
      <c r="L39" s="821">
        <f t="shared" si="7"/>
        <v>151180.13</v>
      </c>
      <c r="N39" s="792" t="s">
        <v>32</v>
      </c>
      <c r="O39" s="793"/>
      <c r="Q39" s="837">
        <f t="shared" si="8"/>
        <v>151180.13</v>
      </c>
    </row>
    <row r="40" ht="19.5" customHeight="1" spans="1:17">
      <c r="A40" s="768" t="s">
        <v>20</v>
      </c>
      <c r="B40" s="715">
        <v>1453</v>
      </c>
      <c r="C40" s="737">
        <v>94959.85</v>
      </c>
      <c r="D40" s="735">
        <v>5090</v>
      </c>
      <c r="E40" s="771">
        <v>79</v>
      </c>
      <c r="F40" s="737">
        <v>8211.2</v>
      </c>
      <c r="G40" s="735">
        <v>945</v>
      </c>
      <c r="H40" s="771">
        <v>101</v>
      </c>
      <c r="I40" s="820">
        <v>17656.7</v>
      </c>
      <c r="J40" s="822">
        <v>7255</v>
      </c>
      <c r="K40" s="790">
        <f t="shared" si="6"/>
        <v>1633</v>
      </c>
      <c r="L40" s="821">
        <f t="shared" si="7"/>
        <v>134117.75</v>
      </c>
      <c r="N40" s="792" t="s">
        <v>32</v>
      </c>
      <c r="O40" s="793"/>
      <c r="Q40" s="837">
        <f t="shared" si="8"/>
        <v>134117.75</v>
      </c>
    </row>
    <row r="41" ht="21.75" customHeight="1" spans="1:17">
      <c r="A41" s="768" t="s">
        <v>21</v>
      </c>
      <c r="B41" s="715">
        <v>1368</v>
      </c>
      <c r="C41" s="737">
        <v>89969</v>
      </c>
      <c r="D41" s="735">
        <v>11031</v>
      </c>
      <c r="E41" s="771">
        <v>165</v>
      </c>
      <c r="F41" s="737">
        <v>16721.21</v>
      </c>
      <c r="G41" s="735">
        <v>1695</v>
      </c>
      <c r="H41" s="771">
        <v>143</v>
      </c>
      <c r="I41" s="820">
        <v>17301.12</v>
      </c>
      <c r="J41" s="822">
        <v>12200</v>
      </c>
      <c r="K41" s="790">
        <f t="shared" si="6"/>
        <v>1676</v>
      </c>
      <c r="L41" s="821">
        <f t="shared" si="7"/>
        <v>148917.33</v>
      </c>
      <c r="N41" s="792" t="s">
        <v>32</v>
      </c>
      <c r="O41" s="793"/>
      <c r="Q41" s="837">
        <f t="shared" si="8"/>
        <v>148917.33</v>
      </c>
    </row>
    <row r="42" ht="24" customHeight="1" spans="1:17">
      <c r="A42" s="772" t="s">
        <v>22</v>
      </c>
      <c r="B42" s="720">
        <v>1389</v>
      </c>
      <c r="C42" s="755">
        <v>67809.91</v>
      </c>
      <c r="D42" s="756">
        <v>15511</v>
      </c>
      <c r="E42" s="773">
        <v>204</v>
      </c>
      <c r="F42" s="755">
        <v>21843.68</v>
      </c>
      <c r="G42" s="756">
        <v>1125</v>
      </c>
      <c r="H42" s="773">
        <v>142</v>
      </c>
      <c r="I42" s="823">
        <v>20292.08</v>
      </c>
      <c r="J42" s="824">
        <v>11095</v>
      </c>
      <c r="K42" s="794">
        <f t="shared" si="6"/>
        <v>1735</v>
      </c>
      <c r="L42" s="825">
        <f t="shared" si="7"/>
        <v>137676.67</v>
      </c>
      <c r="N42" s="792" t="s">
        <v>32</v>
      </c>
      <c r="O42" s="793"/>
      <c r="Q42" s="837">
        <f t="shared" si="8"/>
        <v>137676.67</v>
      </c>
    </row>
  </sheetData>
  <mergeCells count="11">
    <mergeCell ref="B1:D1"/>
    <mergeCell ref="E1:G1"/>
    <mergeCell ref="H1:J1"/>
    <mergeCell ref="K1:L1"/>
    <mergeCell ref="N36:O36"/>
    <mergeCell ref="N37:O37"/>
    <mergeCell ref="N38:O38"/>
    <mergeCell ref="N39:O39"/>
    <mergeCell ref="N40:O40"/>
    <mergeCell ref="N41:O41"/>
    <mergeCell ref="N42:O42"/>
  </mergeCells>
  <pageMargins left="0.44" right="0.28" top="0.748031496062992" bottom="0.65" header="0.31496062992126" footer="0.31496062992126"/>
  <pageSetup paperSize="1" scale="5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60"/>
  <sheetViews>
    <sheetView topLeftCell="B37" workbookViewId="0">
      <selection activeCell="P47" sqref="P47"/>
    </sheetView>
  </sheetViews>
  <sheetFormatPr defaultColWidth="9" defaultRowHeight="16.5"/>
  <cols>
    <col min="1" max="1" width="7.14285714285714" hidden="1" customWidth="1"/>
    <col min="2" max="2" width="13.2857142857143" customWidth="1"/>
    <col min="3" max="3" width="10.5714285714286" customWidth="1"/>
    <col min="4" max="4" width="12.4285714285714" customWidth="1"/>
    <col min="5" max="5" width="12.2857142857143" customWidth="1"/>
    <col min="6" max="6" width="10.5714285714286" customWidth="1"/>
    <col min="7" max="7" width="12.4285714285714" customWidth="1"/>
    <col min="8" max="8" width="10.1428571428571" customWidth="1"/>
    <col min="9" max="9" width="10.7142857142857" customWidth="1"/>
    <col min="10" max="10" width="13.7142857142857" customWidth="1"/>
    <col min="11" max="11" width="11.4285714285714" customWidth="1"/>
    <col min="12" max="12" width="11" customWidth="1"/>
    <col min="13" max="13" width="13.2857142857143" customWidth="1"/>
    <col min="14" max="14" width="8.57142857142857" customWidth="1"/>
    <col min="15" max="15" width="11.5714285714286" customWidth="1"/>
    <col min="16" max="16" width="13.5714285714286" customWidth="1"/>
    <col min="17" max="17" width="9.14285714285714" style="500"/>
    <col min="18" max="18" width="12.1428571428571" customWidth="1"/>
    <col min="19" max="19" width="10.8571428571429" customWidth="1"/>
    <col min="20" max="20" width="9.14285714285714" style="500"/>
    <col min="21" max="21" width="18" customWidth="1"/>
  </cols>
  <sheetData>
    <row r="1" ht="54" customHeight="1" spans="1:21">
      <c r="A1" s="501"/>
      <c r="B1" s="304" t="s">
        <v>0</v>
      </c>
      <c r="C1" s="502" t="s">
        <v>33</v>
      </c>
      <c r="D1" s="503"/>
      <c r="E1" s="503"/>
      <c r="F1" s="502"/>
      <c r="G1" s="503" t="s">
        <v>34</v>
      </c>
      <c r="H1" s="503"/>
      <c r="I1" s="502" t="s">
        <v>2</v>
      </c>
      <c r="J1" s="503"/>
      <c r="K1" s="579"/>
      <c r="L1" s="502" t="s">
        <v>3</v>
      </c>
      <c r="M1" s="503"/>
      <c r="N1" s="579"/>
      <c r="O1" s="580" t="s">
        <v>4</v>
      </c>
      <c r="P1" s="581"/>
      <c r="R1" s="583" t="s">
        <v>5</v>
      </c>
      <c r="S1" s="625" t="s">
        <v>6</v>
      </c>
      <c r="U1" s="626" t="s">
        <v>7</v>
      </c>
    </row>
    <row r="2" ht="33.75" customHeight="1" spans="1:21">
      <c r="A2" s="349"/>
      <c r="B2" s="304"/>
      <c r="C2" s="504" t="s">
        <v>8</v>
      </c>
      <c r="D2" s="505" t="s">
        <v>9</v>
      </c>
      <c r="E2" s="506" t="s">
        <v>10</v>
      </c>
      <c r="F2" s="504" t="s">
        <v>8</v>
      </c>
      <c r="G2" s="505" t="s">
        <v>9</v>
      </c>
      <c r="H2" s="506" t="s">
        <v>10</v>
      </c>
      <c r="I2" s="504" t="s">
        <v>8</v>
      </c>
      <c r="J2" s="505" t="s">
        <v>9</v>
      </c>
      <c r="K2" s="582" t="s">
        <v>10</v>
      </c>
      <c r="L2" s="504" t="s">
        <v>8</v>
      </c>
      <c r="M2" s="505" t="s">
        <v>9</v>
      </c>
      <c r="N2" s="582" t="s">
        <v>10</v>
      </c>
      <c r="O2" s="583" t="s">
        <v>11</v>
      </c>
      <c r="P2" s="584" t="s">
        <v>12</v>
      </c>
      <c r="Q2" s="627"/>
      <c r="R2" s="628"/>
      <c r="S2" s="629"/>
      <c r="T2" s="627"/>
      <c r="U2" s="630"/>
    </row>
    <row r="3" ht="29.25" customHeight="1" spans="1:21">
      <c r="A3" s="349">
        <v>2021</v>
      </c>
      <c r="B3" s="507">
        <v>44197</v>
      </c>
      <c r="C3" s="143">
        <v>507</v>
      </c>
      <c r="D3" s="157">
        <v>54643.98</v>
      </c>
      <c r="E3" s="41">
        <v>6919</v>
      </c>
      <c r="F3" s="508"/>
      <c r="G3" s="509"/>
      <c r="H3" s="510"/>
      <c r="I3" s="143">
        <v>0</v>
      </c>
      <c r="J3" s="144">
        <v>0</v>
      </c>
      <c r="K3" s="42">
        <v>0</v>
      </c>
      <c r="L3" s="143">
        <v>74</v>
      </c>
      <c r="M3" s="157">
        <v>11032</v>
      </c>
      <c r="N3" s="129">
        <v>6700</v>
      </c>
      <c r="O3" s="585">
        <f>C3+L3</f>
        <v>581</v>
      </c>
      <c r="P3" s="586">
        <f t="shared" ref="P3:P5" si="0">D3+E3+J3+K3+M3+N3</f>
        <v>79294.98</v>
      </c>
      <c r="Q3" s="631"/>
      <c r="R3" s="632">
        <v>21</v>
      </c>
      <c r="S3" s="633">
        <v>647</v>
      </c>
      <c r="T3" s="631"/>
      <c r="U3" s="634">
        <f>P3+S3</f>
        <v>79941.98</v>
      </c>
    </row>
    <row r="4" ht="33.75" customHeight="1" spans="1:21">
      <c r="A4" s="349">
        <v>2022</v>
      </c>
      <c r="B4" s="511">
        <v>44562</v>
      </c>
      <c r="C4" s="147">
        <v>614</v>
      </c>
      <c r="D4" s="158">
        <v>42207.53</v>
      </c>
      <c r="E4" s="48">
        <v>4490</v>
      </c>
      <c r="F4" s="512"/>
      <c r="G4" s="513"/>
      <c r="H4" s="514"/>
      <c r="I4" s="147">
        <v>183</v>
      </c>
      <c r="J4" s="158">
        <v>18115.97</v>
      </c>
      <c r="K4" s="49">
        <v>655</v>
      </c>
      <c r="L4" s="147">
        <v>68</v>
      </c>
      <c r="M4" s="158">
        <v>11782.4</v>
      </c>
      <c r="N4" s="130">
        <v>4070</v>
      </c>
      <c r="O4" s="587">
        <v>865</v>
      </c>
      <c r="P4" s="588">
        <f t="shared" si="0"/>
        <v>81320.9</v>
      </c>
      <c r="Q4" s="631"/>
      <c r="R4" s="635">
        <v>736</v>
      </c>
      <c r="S4" s="636">
        <v>17795</v>
      </c>
      <c r="T4" s="631"/>
      <c r="U4" s="634">
        <f>P4+S4</f>
        <v>99115.9</v>
      </c>
    </row>
    <row r="5" ht="32.25" customHeight="1" spans="1:21">
      <c r="A5" s="349"/>
      <c r="B5" s="515" t="s">
        <v>35</v>
      </c>
      <c r="C5" s="151">
        <v>854</v>
      </c>
      <c r="D5" s="152">
        <v>55081.29</v>
      </c>
      <c r="E5" s="55">
        <v>3236</v>
      </c>
      <c r="F5" s="516"/>
      <c r="G5" s="517"/>
      <c r="H5" s="518"/>
      <c r="I5" s="151">
        <v>422</v>
      </c>
      <c r="J5" s="152">
        <v>46559.26</v>
      </c>
      <c r="K5" s="56">
        <v>2446</v>
      </c>
      <c r="L5" s="151">
        <v>92</v>
      </c>
      <c r="M5" s="152">
        <v>24135.68</v>
      </c>
      <c r="N5" s="56">
        <v>7220</v>
      </c>
      <c r="O5" s="589">
        <f>C5+I5+L5</f>
        <v>1368</v>
      </c>
      <c r="P5" s="590">
        <f t="shared" si="0"/>
        <v>138678.23</v>
      </c>
      <c r="Q5" s="631"/>
      <c r="R5" s="637">
        <v>66</v>
      </c>
      <c r="S5" s="638">
        <v>1625</v>
      </c>
      <c r="T5" s="631"/>
      <c r="U5" s="634">
        <f>P5+S5</f>
        <v>140303.23</v>
      </c>
    </row>
    <row r="6" ht="24.95" customHeight="1" spans="1:21">
      <c r="A6" s="349"/>
      <c r="B6" s="349"/>
      <c r="C6" s="58"/>
      <c r="D6" s="61"/>
      <c r="E6" s="61"/>
      <c r="F6" s="58"/>
      <c r="G6" s="61"/>
      <c r="H6" s="61"/>
      <c r="I6" s="58"/>
      <c r="J6" s="61"/>
      <c r="K6" s="62"/>
      <c r="L6" s="58"/>
      <c r="M6" s="61"/>
      <c r="N6" s="62"/>
      <c r="O6" s="61"/>
      <c r="P6" s="591"/>
      <c r="Q6" s="627"/>
      <c r="R6" s="639"/>
      <c r="S6" s="639"/>
      <c r="T6" s="627"/>
      <c r="U6" s="640"/>
    </row>
    <row r="7" ht="29.25" customHeight="1" spans="1:21">
      <c r="A7" s="349">
        <v>2021</v>
      </c>
      <c r="B7" s="507">
        <v>44228</v>
      </c>
      <c r="C7" s="143">
        <v>554</v>
      </c>
      <c r="D7" s="157">
        <v>51363.14</v>
      </c>
      <c r="E7" s="41">
        <v>8107</v>
      </c>
      <c r="F7" s="508"/>
      <c r="G7" s="509"/>
      <c r="H7" s="510"/>
      <c r="I7" s="143">
        <v>0</v>
      </c>
      <c r="J7" s="144">
        <v>0</v>
      </c>
      <c r="K7" s="42">
        <v>0</v>
      </c>
      <c r="L7" s="143">
        <v>57</v>
      </c>
      <c r="M7" s="157">
        <v>33527.36</v>
      </c>
      <c r="N7" s="129">
        <v>13343</v>
      </c>
      <c r="O7" s="585">
        <f>C7+I7++L7</f>
        <v>611</v>
      </c>
      <c r="P7" s="586">
        <f t="shared" ref="P7:P17" si="1">D7+E7+J7+K7+M7+N7</f>
        <v>106340.5</v>
      </c>
      <c r="Q7" s="631"/>
      <c r="R7" s="632">
        <v>87</v>
      </c>
      <c r="S7" s="633">
        <v>2031</v>
      </c>
      <c r="T7" s="641"/>
      <c r="U7" s="642">
        <f>P7+S7</f>
        <v>108371.5</v>
      </c>
    </row>
    <row r="8" ht="30.75" customHeight="1" spans="1:21">
      <c r="A8" s="349">
        <v>2022</v>
      </c>
      <c r="B8" s="511">
        <v>44593</v>
      </c>
      <c r="C8" s="147">
        <v>549</v>
      </c>
      <c r="D8" s="158">
        <v>38624.6</v>
      </c>
      <c r="E8" s="48">
        <v>2926</v>
      </c>
      <c r="F8" s="512"/>
      <c r="G8" s="513"/>
      <c r="H8" s="514"/>
      <c r="I8" s="147">
        <v>200</v>
      </c>
      <c r="J8" s="158">
        <v>19935.96</v>
      </c>
      <c r="K8" s="49">
        <v>1934</v>
      </c>
      <c r="L8" s="147">
        <v>134</v>
      </c>
      <c r="M8" s="158">
        <v>14905.2</v>
      </c>
      <c r="N8" s="130">
        <v>9644</v>
      </c>
      <c r="O8" s="587">
        <f>C8+I8++L8</f>
        <v>883</v>
      </c>
      <c r="P8" s="588">
        <f t="shared" si="1"/>
        <v>87969.76</v>
      </c>
      <c r="Q8" s="631"/>
      <c r="R8" s="635">
        <v>388</v>
      </c>
      <c r="S8" s="636">
        <v>9450</v>
      </c>
      <c r="T8" s="641"/>
      <c r="U8" s="642">
        <f>P8+S8</f>
        <v>97419.76</v>
      </c>
    </row>
    <row r="9" ht="24.95" customHeight="1" spans="1:21">
      <c r="A9" s="349"/>
      <c r="B9" s="519">
        <v>44958</v>
      </c>
      <c r="C9" s="151">
        <v>856</v>
      </c>
      <c r="D9" s="152">
        <v>49229.59</v>
      </c>
      <c r="E9" s="55">
        <v>2985</v>
      </c>
      <c r="F9" s="516"/>
      <c r="G9" s="517"/>
      <c r="H9" s="518"/>
      <c r="I9" s="151">
        <v>321</v>
      </c>
      <c r="J9" s="152">
        <v>56202.29</v>
      </c>
      <c r="K9" s="56">
        <v>1780</v>
      </c>
      <c r="L9" s="151">
        <v>108</v>
      </c>
      <c r="M9" s="152">
        <v>20028.8</v>
      </c>
      <c r="N9" s="56">
        <v>9650</v>
      </c>
      <c r="O9" s="589">
        <f>C9+I9++L9</f>
        <v>1285</v>
      </c>
      <c r="P9" s="590">
        <f t="shared" si="1"/>
        <v>139875.68</v>
      </c>
      <c r="Q9" s="631"/>
      <c r="R9" s="637">
        <v>22</v>
      </c>
      <c r="S9" s="643">
        <v>388</v>
      </c>
      <c r="T9" s="641"/>
      <c r="U9" s="642">
        <f>P9+S9</f>
        <v>140263.68</v>
      </c>
    </row>
    <row r="10" ht="24.95" customHeight="1" spans="1:21">
      <c r="A10" s="349"/>
      <c r="B10" s="349"/>
      <c r="C10" s="58"/>
      <c r="D10" s="61"/>
      <c r="E10" s="61"/>
      <c r="F10" s="58"/>
      <c r="G10" s="61"/>
      <c r="H10" s="61"/>
      <c r="I10" s="58"/>
      <c r="J10" s="61"/>
      <c r="K10" s="62"/>
      <c r="L10" s="58"/>
      <c r="M10" s="61"/>
      <c r="N10" s="62"/>
      <c r="O10" s="61"/>
      <c r="P10" s="592"/>
      <c r="Q10" s="641"/>
      <c r="R10" s="644"/>
      <c r="S10" s="645"/>
      <c r="T10" s="627"/>
      <c r="U10" s="646"/>
    </row>
    <row r="11" ht="30" customHeight="1" spans="1:21">
      <c r="A11" s="349">
        <v>2021</v>
      </c>
      <c r="B11" s="507">
        <v>44256</v>
      </c>
      <c r="C11" s="143">
        <v>470</v>
      </c>
      <c r="D11" s="157">
        <v>38923.15</v>
      </c>
      <c r="E11" s="41">
        <v>8079</v>
      </c>
      <c r="F11" s="508"/>
      <c r="G11" s="509"/>
      <c r="H11" s="510"/>
      <c r="I11" s="143">
        <v>0</v>
      </c>
      <c r="J11" s="144">
        <v>0</v>
      </c>
      <c r="K11" s="42">
        <v>0</v>
      </c>
      <c r="L11" s="143">
        <v>40</v>
      </c>
      <c r="M11" s="157">
        <v>14244.44</v>
      </c>
      <c r="N11" s="129">
        <v>11590</v>
      </c>
      <c r="O11" s="585">
        <f>C11+I11+L11</f>
        <v>510</v>
      </c>
      <c r="P11" s="586">
        <f t="shared" si="1"/>
        <v>72836.59</v>
      </c>
      <c r="Q11" s="641"/>
      <c r="R11" s="647">
        <v>253</v>
      </c>
      <c r="S11" s="648">
        <v>5295</v>
      </c>
      <c r="T11" s="627"/>
      <c r="U11" s="642">
        <f>P11+S11</f>
        <v>78131.59</v>
      </c>
    </row>
    <row r="12" ht="30.75" customHeight="1" spans="1:21">
      <c r="A12" s="349">
        <v>2022</v>
      </c>
      <c r="B12" s="511">
        <v>44621</v>
      </c>
      <c r="C12" s="147">
        <v>731</v>
      </c>
      <c r="D12" s="158">
        <v>51217.74</v>
      </c>
      <c r="E12" s="48">
        <v>3981</v>
      </c>
      <c r="F12" s="512"/>
      <c r="G12" s="513"/>
      <c r="H12" s="514"/>
      <c r="I12" s="147">
        <v>191</v>
      </c>
      <c r="J12" s="158">
        <v>18070.97</v>
      </c>
      <c r="K12" s="49">
        <v>705</v>
      </c>
      <c r="L12" s="147">
        <v>157</v>
      </c>
      <c r="M12" s="158">
        <v>24089.3</v>
      </c>
      <c r="N12" s="130">
        <v>11520</v>
      </c>
      <c r="O12" s="585">
        <f>C12+I12+L12</f>
        <v>1079</v>
      </c>
      <c r="P12" s="588">
        <f t="shared" si="1"/>
        <v>109584.01</v>
      </c>
      <c r="Q12" s="641"/>
      <c r="R12" s="649">
        <v>224</v>
      </c>
      <c r="S12" s="650">
        <v>6267</v>
      </c>
      <c r="T12" s="627"/>
      <c r="U12" s="642">
        <f>P12+S12</f>
        <v>115851.01</v>
      </c>
    </row>
    <row r="13" ht="24.95" customHeight="1" spans="1:21">
      <c r="A13" s="349"/>
      <c r="B13" s="519">
        <v>44986</v>
      </c>
      <c r="C13" s="151">
        <v>830</v>
      </c>
      <c r="D13" s="152">
        <v>45133.58</v>
      </c>
      <c r="E13" s="55">
        <v>3215</v>
      </c>
      <c r="F13" s="520"/>
      <c r="G13" s="518"/>
      <c r="H13" s="518"/>
      <c r="I13" s="151">
        <v>288</v>
      </c>
      <c r="J13" s="152">
        <v>51281.45</v>
      </c>
      <c r="K13" s="56">
        <v>470</v>
      </c>
      <c r="L13" s="151">
        <v>130</v>
      </c>
      <c r="M13" s="152">
        <v>22754.7</v>
      </c>
      <c r="N13" s="56">
        <v>9790</v>
      </c>
      <c r="O13" s="585">
        <f>C13+I13+L13</f>
        <v>1248</v>
      </c>
      <c r="P13" s="588">
        <f t="shared" si="1"/>
        <v>132644.73</v>
      </c>
      <c r="Q13" s="641"/>
      <c r="R13" s="649">
        <v>13</v>
      </c>
      <c r="S13" s="649">
        <v>325</v>
      </c>
      <c r="T13" s="627"/>
      <c r="U13" s="642">
        <f>P13+S13</f>
        <v>132969.73</v>
      </c>
    </row>
    <row r="14" ht="24.95" customHeight="1" spans="1:21">
      <c r="A14" s="349"/>
      <c r="B14" s="349"/>
      <c r="C14" s="58"/>
      <c r="D14" s="61"/>
      <c r="E14" s="61"/>
      <c r="F14" s="58"/>
      <c r="G14" s="61"/>
      <c r="H14" s="61"/>
      <c r="I14" s="58"/>
      <c r="J14" s="61"/>
      <c r="K14" s="62"/>
      <c r="L14" s="58"/>
      <c r="M14" s="61"/>
      <c r="N14" s="62"/>
      <c r="O14" s="61"/>
      <c r="P14" s="592"/>
      <c r="Q14" s="641"/>
      <c r="R14" s="102"/>
      <c r="S14" s="651"/>
      <c r="T14" s="627"/>
      <c r="U14" s="646"/>
    </row>
    <row r="15" ht="30.75" customHeight="1" spans="1:21">
      <c r="A15" s="349">
        <v>2021</v>
      </c>
      <c r="B15" s="507">
        <v>44287</v>
      </c>
      <c r="C15" s="143">
        <v>357</v>
      </c>
      <c r="D15" s="157">
        <v>33027.72</v>
      </c>
      <c r="E15" s="41">
        <v>6228</v>
      </c>
      <c r="F15" s="508"/>
      <c r="G15" s="509"/>
      <c r="H15" s="510"/>
      <c r="I15" s="143">
        <v>38</v>
      </c>
      <c r="J15" s="157">
        <v>5411.85</v>
      </c>
      <c r="K15" s="42">
        <v>470</v>
      </c>
      <c r="L15" s="143">
        <v>98</v>
      </c>
      <c r="M15" s="157">
        <v>1302</v>
      </c>
      <c r="N15" s="129">
        <v>7805</v>
      </c>
      <c r="O15" s="593">
        <f t="shared" ref="O15:O35" si="2">C15+I15+L15</f>
        <v>493</v>
      </c>
      <c r="P15" s="586">
        <f t="shared" si="1"/>
        <v>54244.57</v>
      </c>
      <c r="Q15" s="631"/>
      <c r="R15" s="632">
        <v>779</v>
      </c>
      <c r="S15" s="633">
        <v>17358</v>
      </c>
      <c r="T15" s="641"/>
      <c r="U15" s="642">
        <f>P15+S15</f>
        <v>71602.57</v>
      </c>
    </row>
    <row r="16" ht="32.25" customHeight="1" spans="1:21">
      <c r="A16" s="349">
        <v>2022</v>
      </c>
      <c r="B16" s="511">
        <v>44652</v>
      </c>
      <c r="C16" s="147">
        <v>506</v>
      </c>
      <c r="D16" s="158">
        <v>30532.14</v>
      </c>
      <c r="E16" s="48">
        <v>3385</v>
      </c>
      <c r="F16" s="512"/>
      <c r="G16" s="513"/>
      <c r="H16" s="514"/>
      <c r="I16" s="147">
        <v>95</v>
      </c>
      <c r="J16" s="158">
        <v>7382.47</v>
      </c>
      <c r="K16" s="49">
        <v>850</v>
      </c>
      <c r="L16" s="147">
        <v>136</v>
      </c>
      <c r="M16" s="158">
        <v>13396.07</v>
      </c>
      <c r="N16" s="130">
        <v>10670</v>
      </c>
      <c r="O16" s="587">
        <f t="shared" si="2"/>
        <v>737</v>
      </c>
      <c r="P16" s="588">
        <f t="shared" si="1"/>
        <v>66215.68</v>
      </c>
      <c r="Q16" s="631"/>
      <c r="R16" s="635">
        <v>111</v>
      </c>
      <c r="S16" s="636">
        <v>1983</v>
      </c>
      <c r="T16" s="641"/>
      <c r="U16" s="642">
        <f>P16+S16</f>
        <v>68198.68</v>
      </c>
    </row>
    <row r="17" ht="24.95" customHeight="1" spans="1:21">
      <c r="A17" s="349"/>
      <c r="B17" s="519">
        <v>45017</v>
      </c>
      <c r="C17" s="151">
        <v>645</v>
      </c>
      <c r="D17" s="152">
        <v>32952.54</v>
      </c>
      <c r="E17" s="55">
        <v>2130</v>
      </c>
      <c r="F17" s="516"/>
      <c r="G17" s="517"/>
      <c r="H17" s="518"/>
      <c r="I17" s="151">
        <v>252</v>
      </c>
      <c r="J17" s="152">
        <v>24435.32</v>
      </c>
      <c r="K17" s="56">
        <v>910</v>
      </c>
      <c r="L17" s="151">
        <v>18</v>
      </c>
      <c r="M17" s="152">
        <v>232</v>
      </c>
      <c r="N17" s="56">
        <v>2070</v>
      </c>
      <c r="O17" s="594">
        <f t="shared" si="2"/>
        <v>915</v>
      </c>
      <c r="P17" s="588">
        <f t="shared" si="1"/>
        <v>62729.86</v>
      </c>
      <c r="Q17" s="631"/>
      <c r="R17" s="637" t="s">
        <v>32</v>
      </c>
      <c r="S17" s="638"/>
      <c r="T17" s="641"/>
      <c r="U17" s="642">
        <f>P17+S17</f>
        <v>62729.86</v>
      </c>
    </row>
    <row r="18" ht="24.95" customHeight="1" spans="1:21">
      <c r="A18" s="349"/>
      <c r="B18" s="349"/>
      <c r="C18" s="58"/>
      <c r="D18" s="61"/>
      <c r="E18" s="69"/>
      <c r="F18" s="521"/>
      <c r="G18" s="522"/>
      <c r="H18" s="522"/>
      <c r="I18" s="58"/>
      <c r="J18" s="61"/>
      <c r="K18" s="62"/>
      <c r="L18" s="58"/>
      <c r="M18" s="61"/>
      <c r="N18" s="62"/>
      <c r="O18" s="61"/>
      <c r="P18" s="61"/>
      <c r="Q18" s="627"/>
      <c r="R18" s="102"/>
      <c r="S18" s="651"/>
      <c r="T18" s="627"/>
      <c r="U18" s="652"/>
    </row>
    <row r="19" ht="30.75" customHeight="1" spans="1:21">
      <c r="A19" s="349">
        <v>2021</v>
      </c>
      <c r="B19" s="507">
        <v>44317</v>
      </c>
      <c r="C19" s="143">
        <v>436</v>
      </c>
      <c r="D19" s="157">
        <v>48903.4</v>
      </c>
      <c r="E19" s="41">
        <v>8314</v>
      </c>
      <c r="F19" s="508"/>
      <c r="G19" s="509"/>
      <c r="H19" s="510"/>
      <c r="I19" s="143">
        <v>96</v>
      </c>
      <c r="J19" s="157">
        <v>14285.45</v>
      </c>
      <c r="K19" s="42">
        <v>423</v>
      </c>
      <c r="L19" s="143">
        <v>122</v>
      </c>
      <c r="M19" s="157">
        <v>5421.92</v>
      </c>
      <c r="N19" s="129">
        <v>9150</v>
      </c>
      <c r="O19" s="585">
        <f t="shared" si="2"/>
        <v>654</v>
      </c>
      <c r="P19" s="586">
        <f t="shared" ref="P19:P32" si="3">D19+E19+J19+K19+M19+N19</f>
        <v>86497.77</v>
      </c>
      <c r="Q19" s="631"/>
      <c r="R19" s="632">
        <v>423</v>
      </c>
      <c r="S19" s="633">
        <v>11640</v>
      </c>
      <c r="T19" s="631"/>
      <c r="U19" s="634">
        <f>P19+S19</f>
        <v>98137.77</v>
      </c>
    </row>
    <row r="20" ht="30.75" customHeight="1" spans="1:21">
      <c r="A20" s="349">
        <v>2022</v>
      </c>
      <c r="B20" s="511">
        <v>44682</v>
      </c>
      <c r="C20" s="147">
        <v>609</v>
      </c>
      <c r="D20" s="158">
        <v>36477.61</v>
      </c>
      <c r="E20" s="48">
        <v>5538</v>
      </c>
      <c r="F20" s="512"/>
      <c r="G20" s="513"/>
      <c r="H20" s="514"/>
      <c r="I20" s="147">
        <v>198</v>
      </c>
      <c r="J20" s="158">
        <v>20652.17</v>
      </c>
      <c r="K20" s="49">
        <v>1080</v>
      </c>
      <c r="L20" s="147">
        <v>157</v>
      </c>
      <c r="M20" s="148">
        <v>13705.5</v>
      </c>
      <c r="N20" s="130">
        <v>11400</v>
      </c>
      <c r="O20" s="587">
        <v>964</v>
      </c>
      <c r="P20" s="588">
        <f t="shared" si="3"/>
        <v>88853.28</v>
      </c>
      <c r="Q20" s="631"/>
      <c r="R20" s="635">
        <v>47</v>
      </c>
      <c r="S20" s="636">
        <v>1109</v>
      </c>
      <c r="T20" s="631"/>
      <c r="U20" s="653">
        <f>P20+S20</f>
        <v>89962.28</v>
      </c>
    </row>
    <row r="21" ht="24.95" customHeight="1" spans="1:21">
      <c r="A21" s="349"/>
      <c r="B21" s="515" t="s">
        <v>36</v>
      </c>
      <c r="C21" s="151">
        <v>871</v>
      </c>
      <c r="D21" s="152">
        <v>47626.06</v>
      </c>
      <c r="E21" s="55">
        <v>2455</v>
      </c>
      <c r="F21" s="516"/>
      <c r="G21" s="517"/>
      <c r="H21" s="518"/>
      <c r="I21" s="151">
        <v>234</v>
      </c>
      <c r="J21" s="152">
        <v>28489.4</v>
      </c>
      <c r="K21" s="56">
        <v>2785</v>
      </c>
      <c r="L21" s="151">
        <v>185</v>
      </c>
      <c r="M21" s="152">
        <v>29194</v>
      </c>
      <c r="N21" s="56">
        <v>13640</v>
      </c>
      <c r="O21" s="589">
        <f>C21+I21+L21</f>
        <v>1290</v>
      </c>
      <c r="P21" s="590">
        <f t="shared" si="3"/>
        <v>124189.46</v>
      </c>
      <c r="Q21" s="631"/>
      <c r="R21" s="654" t="s">
        <v>32</v>
      </c>
      <c r="S21" s="655"/>
      <c r="T21" s="631"/>
      <c r="U21" s="656">
        <f>P21</f>
        <v>124189.46</v>
      </c>
    </row>
    <row r="22" ht="24.95" customHeight="1" spans="1:21">
      <c r="A22" s="349"/>
      <c r="B22" s="349"/>
      <c r="C22" s="58"/>
      <c r="D22" s="61"/>
      <c r="E22" s="69"/>
      <c r="F22" s="523"/>
      <c r="G22" s="69"/>
      <c r="H22" s="69"/>
      <c r="I22" s="58"/>
      <c r="J22" s="61"/>
      <c r="K22" s="62"/>
      <c r="L22" s="58"/>
      <c r="M22" s="61"/>
      <c r="N22" s="62"/>
      <c r="O22" s="61"/>
      <c r="P22" s="61"/>
      <c r="Q22" s="657"/>
      <c r="R22" s="658"/>
      <c r="S22" s="659"/>
      <c r="T22" s="631"/>
      <c r="U22" s="660"/>
    </row>
    <row r="23" ht="29.25" customHeight="1" spans="1:21">
      <c r="A23" s="349">
        <v>2021</v>
      </c>
      <c r="B23" s="351">
        <v>44348</v>
      </c>
      <c r="C23" s="143">
        <v>640</v>
      </c>
      <c r="D23" s="524">
        <v>58773.6</v>
      </c>
      <c r="E23" s="42">
        <v>7408</v>
      </c>
      <c r="F23" s="508"/>
      <c r="G23" s="509"/>
      <c r="H23" s="510"/>
      <c r="I23" s="143">
        <v>147</v>
      </c>
      <c r="J23" s="144">
        <v>19324</v>
      </c>
      <c r="K23" s="42">
        <v>882</v>
      </c>
      <c r="L23" s="143">
        <v>145</v>
      </c>
      <c r="M23" s="157">
        <v>13687.68</v>
      </c>
      <c r="N23" s="129">
        <v>10080</v>
      </c>
      <c r="O23" s="585">
        <f t="shared" si="2"/>
        <v>932</v>
      </c>
      <c r="P23" s="595">
        <f t="shared" si="3"/>
        <v>110155.28</v>
      </c>
      <c r="Q23" s="631"/>
      <c r="R23" s="632">
        <v>398</v>
      </c>
      <c r="S23" s="633">
        <v>12600</v>
      </c>
      <c r="T23" s="641"/>
      <c r="U23" s="661">
        <f>P23+S23</f>
        <v>122755.28</v>
      </c>
    </row>
    <row r="24" ht="30" customHeight="1" spans="1:21">
      <c r="A24" s="349">
        <v>2022</v>
      </c>
      <c r="B24" s="353">
        <v>44713</v>
      </c>
      <c r="C24" s="161">
        <v>907</v>
      </c>
      <c r="D24" s="169">
        <v>61877.59</v>
      </c>
      <c r="E24" s="74">
        <v>4780</v>
      </c>
      <c r="F24" s="512"/>
      <c r="G24" s="513"/>
      <c r="H24" s="514"/>
      <c r="I24" s="161">
        <v>131</v>
      </c>
      <c r="J24" s="162">
        <v>14913.36</v>
      </c>
      <c r="K24" s="74">
        <v>120</v>
      </c>
      <c r="L24" s="161">
        <v>126</v>
      </c>
      <c r="M24" s="169">
        <v>19814.4</v>
      </c>
      <c r="N24" s="131">
        <v>8930</v>
      </c>
      <c r="O24" s="596">
        <v>1164</v>
      </c>
      <c r="P24" s="597">
        <f t="shared" si="3"/>
        <v>110435.35</v>
      </c>
      <c r="Q24" s="657"/>
      <c r="R24" s="662">
        <v>182</v>
      </c>
      <c r="S24" s="663">
        <v>3632</v>
      </c>
      <c r="T24" s="641"/>
      <c r="U24" s="661">
        <f>P24+S24</f>
        <v>114067.35</v>
      </c>
    </row>
    <row r="25" ht="24.95" customHeight="1" spans="1:21">
      <c r="A25" s="349"/>
      <c r="B25" s="353">
        <v>45078</v>
      </c>
      <c r="C25" s="525">
        <v>650</v>
      </c>
      <c r="D25" s="169">
        <v>43999.58</v>
      </c>
      <c r="E25" s="78">
        <v>3257</v>
      </c>
      <c r="F25" s="526">
        <v>206</v>
      </c>
      <c r="G25" s="527">
        <v>13714.95</v>
      </c>
      <c r="H25" s="528">
        <v>785</v>
      </c>
      <c r="I25" s="164">
        <v>195</v>
      </c>
      <c r="J25" s="165">
        <v>24997.87</v>
      </c>
      <c r="K25" s="79">
        <v>1610</v>
      </c>
      <c r="L25" s="164">
        <v>121</v>
      </c>
      <c r="M25" s="165">
        <v>14615.84</v>
      </c>
      <c r="N25" s="132">
        <v>11704</v>
      </c>
      <c r="O25" s="598">
        <f>SUM(C25+F25+I25+L25)</f>
        <v>1172</v>
      </c>
      <c r="P25" s="599">
        <f>D25+E25+G25+H25+J25+K25+M25+N25</f>
        <v>114684.24</v>
      </c>
      <c r="Q25" s="631"/>
      <c r="R25" s="664" t="s">
        <v>32</v>
      </c>
      <c r="S25" s="665"/>
      <c r="T25" s="641"/>
      <c r="U25" s="666">
        <v>114684.24</v>
      </c>
    </row>
    <row r="26" ht="24.95" customHeight="1" spans="1:21">
      <c r="A26" s="349"/>
      <c r="B26" s="529"/>
      <c r="C26" s="80"/>
      <c r="D26" s="83"/>
      <c r="E26" s="83"/>
      <c r="F26" s="80"/>
      <c r="G26" s="83"/>
      <c r="H26" s="83"/>
      <c r="I26" s="80"/>
      <c r="J26" s="83"/>
      <c r="K26" s="84"/>
      <c r="L26" s="80"/>
      <c r="M26" s="83"/>
      <c r="N26" s="84"/>
      <c r="O26" s="83"/>
      <c r="P26" s="84"/>
      <c r="Q26" s="657"/>
      <c r="R26" s="667"/>
      <c r="S26" s="668"/>
      <c r="T26" s="641"/>
      <c r="U26" s="669"/>
    </row>
    <row r="27" ht="30.75" customHeight="1" spans="1:21">
      <c r="A27" s="349">
        <v>2021</v>
      </c>
      <c r="B27" s="351">
        <v>44378</v>
      </c>
      <c r="C27" s="143">
        <v>642</v>
      </c>
      <c r="D27" s="157">
        <v>50421.97</v>
      </c>
      <c r="E27" s="86">
        <v>6278.5</v>
      </c>
      <c r="F27" s="530"/>
      <c r="G27" s="531"/>
      <c r="H27" s="532"/>
      <c r="I27" s="143">
        <v>154</v>
      </c>
      <c r="J27" s="157">
        <v>19072.75</v>
      </c>
      <c r="K27" s="42">
        <v>980</v>
      </c>
      <c r="L27" s="143">
        <v>113</v>
      </c>
      <c r="M27" s="157">
        <v>4105.68</v>
      </c>
      <c r="N27" s="129">
        <v>10075</v>
      </c>
      <c r="O27" s="585">
        <f t="shared" si="2"/>
        <v>909</v>
      </c>
      <c r="P27" s="586">
        <f t="shared" si="3"/>
        <v>90933.9</v>
      </c>
      <c r="Q27" s="641"/>
      <c r="R27" s="670">
        <v>479</v>
      </c>
      <c r="S27" s="671">
        <v>14575</v>
      </c>
      <c r="T27" s="627"/>
      <c r="U27" s="661">
        <f>P27+S27</f>
        <v>105508.9</v>
      </c>
    </row>
    <row r="28" ht="30" customHeight="1" spans="1:21">
      <c r="A28" s="349">
        <v>2022</v>
      </c>
      <c r="B28" s="533">
        <v>44743</v>
      </c>
      <c r="C28" s="147">
        <v>862</v>
      </c>
      <c r="D28" s="158">
        <v>57563.52</v>
      </c>
      <c r="E28" s="49">
        <v>4665</v>
      </c>
      <c r="F28" s="534"/>
      <c r="G28" s="535"/>
      <c r="H28" s="536"/>
      <c r="I28" s="147">
        <v>260</v>
      </c>
      <c r="J28" s="158">
        <v>28320.87</v>
      </c>
      <c r="K28" s="49">
        <v>1380</v>
      </c>
      <c r="L28" s="147">
        <v>95</v>
      </c>
      <c r="M28" s="158">
        <v>7009.2</v>
      </c>
      <c r="N28" s="130">
        <v>8260</v>
      </c>
      <c r="O28" s="587">
        <v>1212</v>
      </c>
      <c r="P28" s="588">
        <f t="shared" si="3"/>
        <v>107198.59</v>
      </c>
      <c r="Q28" s="641"/>
      <c r="R28" s="670">
        <v>182</v>
      </c>
      <c r="S28" s="671">
        <v>3696</v>
      </c>
      <c r="T28" s="627"/>
      <c r="U28" s="672">
        <f>P28+S28</f>
        <v>110894.59</v>
      </c>
    </row>
    <row r="29" ht="24.95" customHeight="1" spans="1:21">
      <c r="A29" s="349"/>
      <c r="B29" s="352">
        <v>45108</v>
      </c>
      <c r="C29" s="164">
        <v>705</v>
      </c>
      <c r="D29" s="527">
        <v>49182</v>
      </c>
      <c r="E29" s="79">
        <v>1530</v>
      </c>
      <c r="F29" s="537">
        <v>505</v>
      </c>
      <c r="G29" s="527">
        <v>35940.84</v>
      </c>
      <c r="H29" s="528">
        <v>1635</v>
      </c>
      <c r="I29" s="164">
        <v>272</v>
      </c>
      <c r="J29" s="179">
        <v>31859.53</v>
      </c>
      <c r="K29" s="79">
        <v>1100</v>
      </c>
      <c r="L29" s="164">
        <v>136</v>
      </c>
      <c r="M29" s="165">
        <v>18077.6</v>
      </c>
      <c r="N29" s="132">
        <v>11855</v>
      </c>
      <c r="O29" s="600">
        <f>SUM(C29+F29+I29+L29)</f>
        <v>1618</v>
      </c>
      <c r="P29" s="590">
        <f>D29+E29+G29+H29+J29+K29+M29+N29</f>
        <v>151179.97</v>
      </c>
      <c r="Q29" s="641"/>
      <c r="R29" s="664" t="s">
        <v>32</v>
      </c>
      <c r="S29" s="665"/>
      <c r="T29" s="627"/>
      <c r="U29" s="673">
        <v>151179.97</v>
      </c>
    </row>
    <row r="30" ht="24.95" customHeight="1" spans="1:21">
      <c r="A30" s="349"/>
      <c r="B30" s="349"/>
      <c r="C30" s="58"/>
      <c r="D30" s="61"/>
      <c r="E30" s="69"/>
      <c r="F30" s="523"/>
      <c r="G30" s="69"/>
      <c r="H30" s="69"/>
      <c r="I30" s="58"/>
      <c r="J30" s="61"/>
      <c r="K30" s="89"/>
      <c r="L30" s="58"/>
      <c r="M30" s="61"/>
      <c r="N30" s="62"/>
      <c r="O30" s="61"/>
      <c r="P30" s="61"/>
      <c r="Q30" s="627"/>
      <c r="R30" s="674"/>
      <c r="S30" s="675"/>
      <c r="T30" s="627"/>
      <c r="U30" s="669"/>
    </row>
    <row r="31" ht="29.25" customHeight="1" spans="1:21">
      <c r="A31" s="349">
        <v>2021</v>
      </c>
      <c r="B31" s="507">
        <v>44409</v>
      </c>
      <c r="C31" s="143">
        <v>644</v>
      </c>
      <c r="D31" s="157">
        <v>53485.12</v>
      </c>
      <c r="E31" s="42">
        <v>5166</v>
      </c>
      <c r="F31" s="508"/>
      <c r="G31" s="509"/>
      <c r="H31" s="538"/>
      <c r="I31" s="143">
        <v>232</v>
      </c>
      <c r="J31" s="157">
        <v>30014.63</v>
      </c>
      <c r="K31" s="42">
        <v>663</v>
      </c>
      <c r="L31" s="143">
        <v>155</v>
      </c>
      <c r="M31" s="157">
        <v>14326.96</v>
      </c>
      <c r="N31" s="129">
        <v>10420</v>
      </c>
      <c r="O31" s="40">
        <f t="shared" si="2"/>
        <v>1031</v>
      </c>
      <c r="P31" s="586">
        <f t="shared" si="3"/>
        <v>114075.71</v>
      </c>
      <c r="Q31" s="641"/>
      <c r="R31" s="670">
        <v>440</v>
      </c>
      <c r="S31" s="671">
        <v>11975</v>
      </c>
      <c r="T31" s="627"/>
      <c r="U31" s="661">
        <f>P31+S31</f>
        <v>126050.71</v>
      </c>
    </row>
    <row r="32" ht="29.25" customHeight="1" spans="1:21">
      <c r="A32" s="349">
        <v>2022</v>
      </c>
      <c r="B32" s="519">
        <v>44774</v>
      </c>
      <c r="C32" s="161">
        <v>1098</v>
      </c>
      <c r="D32" s="169">
        <v>73983.98</v>
      </c>
      <c r="E32" s="74">
        <v>4045</v>
      </c>
      <c r="F32" s="512"/>
      <c r="G32" s="513"/>
      <c r="H32" s="539"/>
      <c r="I32" s="161">
        <v>73</v>
      </c>
      <c r="J32" s="169">
        <v>6216.84</v>
      </c>
      <c r="K32" s="74">
        <v>440</v>
      </c>
      <c r="L32" s="161">
        <v>151</v>
      </c>
      <c r="M32" s="169">
        <v>26371.2</v>
      </c>
      <c r="N32" s="131">
        <v>8610</v>
      </c>
      <c r="O32" s="73">
        <v>1322</v>
      </c>
      <c r="P32" s="601">
        <f t="shared" si="3"/>
        <v>119667.02</v>
      </c>
      <c r="Q32" s="641"/>
      <c r="R32" s="676">
        <v>73</v>
      </c>
      <c r="S32" s="677">
        <v>2068</v>
      </c>
      <c r="T32" s="627"/>
      <c r="U32" s="661">
        <f>P32+S32</f>
        <v>121735.02</v>
      </c>
    </row>
    <row r="33" ht="29.25" customHeight="1" spans="1:21">
      <c r="A33" s="349"/>
      <c r="B33" s="519">
        <v>45139</v>
      </c>
      <c r="C33" s="164">
        <v>751</v>
      </c>
      <c r="D33" s="179">
        <v>44190.85</v>
      </c>
      <c r="E33" s="79">
        <v>1595</v>
      </c>
      <c r="F33" s="526">
        <v>702</v>
      </c>
      <c r="G33" s="527">
        <v>50769.37</v>
      </c>
      <c r="H33" s="79">
        <v>3495</v>
      </c>
      <c r="I33" s="164">
        <v>79</v>
      </c>
      <c r="J33" s="179">
        <v>8211.2</v>
      </c>
      <c r="K33" s="79">
        <v>945</v>
      </c>
      <c r="L33" s="164">
        <v>101</v>
      </c>
      <c r="M33" s="165">
        <v>17656.72</v>
      </c>
      <c r="N33" s="132">
        <v>7255</v>
      </c>
      <c r="O33" s="54">
        <v>1633</v>
      </c>
      <c r="P33" s="590">
        <v>134117.75</v>
      </c>
      <c r="Q33" s="641"/>
      <c r="R33" s="664" t="s">
        <v>32</v>
      </c>
      <c r="S33" s="665"/>
      <c r="T33" s="627"/>
      <c r="U33" s="673">
        <v>134117.75</v>
      </c>
    </row>
    <row r="34" ht="24.95" customHeight="1" spans="1:21">
      <c r="A34" s="349"/>
      <c r="B34" s="349"/>
      <c r="C34" s="349"/>
      <c r="D34" s="90"/>
      <c r="E34" s="90"/>
      <c r="F34" s="349"/>
      <c r="G34" s="90"/>
      <c r="H34" s="90"/>
      <c r="I34" s="349"/>
      <c r="J34" s="90"/>
      <c r="K34" s="91"/>
      <c r="L34" s="349"/>
      <c r="M34" s="90"/>
      <c r="N34" s="91"/>
      <c r="O34" s="90"/>
      <c r="P34" s="90"/>
      <c r="Q34" s="627"/>
      <c r="R34" s="678"/>
      <c r="S34" s="679"/>
      <c r="T34" s="627"/>
      <c r="U34" s="680"/>
    </row>
    <row r="35" ht="30" customHeight="1" spans="1:21">
      <c r="A35" s="186">
        <v>2021</v>
      </c>
      <c r="B35" s="540">
        <v>44440</v>
      </c>
      <c r="C35" s="173">
        <v>676</v>
      </c>
      <c r="D35" s="355">
        <v>55903</v>
      </c>
      <c r="E35" s="92">
        <v>4925</v>
      </c>
      <c r="F35" s="541"/>
      <c r="G35" s="542"/>
      <c r="H35" s="543"/>
      <c r="I35" s="173">
        <v>233</v>
      </c>
      <c r="J35" s="174">
        <v>26214.38</v>
      </c>
      <c r="K35" s="92">
        <v>2672</v>
      </c>
      <c r="L35" s="173">
        <v>143</v>
      </c>
      <c r="M35" s="174">
        <v>19019.04</v>
      </c>
      <c r="N35" s="133">
        <v>10950</v>
      </c>
      <c r="O35" s="398">
        <f t="shared" si="2"/>
        <v>1052</v>
      </c>
      <c r="P35" s="602">
        <f>SUM(D35+E35+J35+K35+M35+N35)</f>
        <v>119683.42</v>
      </c>
      <c r="Q35" s="641"/>
      <c r="R35" s="647">
        <v>474</v>
      </c>
      <c r="S35" s="648">
        <v>10215</v>
      </c>
      <c r="T35" s="627"/>
      <c r="U35" s="681">
        <f>P35+S35</f>
        <v>129898.42</v>
      </c>
    </row>
    <row r="36" ht="28.5" customHeight="1" spans="1:21">
      <c r="A36" s="186">
        <v>2022</v>
      </c>
      <c r="B36" s="544">
        <v>44805</v>
      </c>
      <c r="C36" s="545">
        <v>967</v>
      </c>
      <c r="D36" s="358">
        <v>61765.82</v>
      </c>
      <c r="E36" s="97">
        <v>5590</v>
      </c>
      <c r="F36" s="546"/>
      <c r="G36" s="547"/>
      <c r="H36" s="548"/>
      <c r="I36" s="359">
        <v>244</v>
      </c>
      <c r="J36" s="340">
        <v>20948.91</v>
      </c>
      <c r="K36" s="99">
        <v>1820</v>
      </c>
      <c r="L36" s="176">
        <v>107</v>
      </c>
      <c r="M36" s="177">
        <v>24774.1</v>
      </c>
      <c r="N36" s="134">
        <v>8090</v>
      </c>
      <c r="O36" s="440">
        <v>1318</v>
      </c>
      <c r="P36" s="388">
        <f>SUM(D36+E36+J36+K36+M36+N36)</f>
        <v>122988.83</v>
      </c>
      <c r="Q36" s="641"/>
      <c r="R36" s="649">
        <v>64</v>
      </c>
      <c r="S36" s="650">
        <v>1621</v>
      </c>
      <c r="T36" s="627"/>
      <c r="U36" s="681">
        <f>P36+S36</f>
        <v>124609.83</v>
      </c>
    </row>
    <row r="37" ht="30.75" customHeight="1" spans="1:21">
      <c r="A37" s="186"/>
      <c r="B37" s="549">
        <v>45170</v>
      </c>
      <c r="C37" s="164">
        <v>693</v>
      </c>
      <c r="D37" s="527">
        <v>36326.82</v>
      </c>
      <c r="E37" s="79">
        <v>4868</v>
      </c>
      <c r="F37" s="526">
        <v>675</v>
      </c>
      <c r="G37" s="527">
        <v>53642.12</v>
      </c>
      <c r="H37" s="79">
        <v>6163</v>
      </c>
      <c r="I37" s="164">
        <v>165</v>
      </c>
      <c r="J37" s="179">
        <v>16721.21</v>
      </c>
      <c r="K37" s="79">
        <v>1695</v>
      </c>
      <c r="L37" s="164">
        <v>143</v>
      </c>
      <c r="M37" s="179">
        <v>17301.12</v>
      </c>
      <c r="N37" s="132">
        <v>12200</v>
      </c>
      <c r="O37" s="54">
        <v>1676</v>
      </c>
      <c r="P37" s="590">
        <v>148917.33</v>
      </c>
      <c r="Q37" s="641"/>
      <c r="R37" s="664" t="s">
        <v>32</v>
      </c>
      <c r="S37" s="665"/>
      <c r="T37" s="627"/>
      <c r="U37" s="682">
        <v>148917.33</v>
      </c>
    </row>
    <row r="38" ht="28.5" customHeight="1" spans="1:21">
      <c r="A38" s="186"/>
      <c r="B38" s="364"/>
      <c r="C38" s="550"/>
      <c r="D38" s="104"/>
      <c r="E38" s="104"/>
      <c r="F38" s="550"/>
      <c r="G38" s="104"/>
      <c r="H38" s="104"/>
      <c r="I38" s="550"/>
      <c r="J38" s="104"/>
      <c r="K38" s="105"/>
      <c r="L38" s="550"/>
      <c r="M38" s="104"/>
      <c r="N38" s="105"/>
      <c r="O38" s="104"/>
      <c r="P38" s="104"/>
      <c r="Q38" s="627"/>
      <c r="R38" s="104"/>
      <c r="S38" s="104"/>
      <c r="T38" s="627"/>
      <c r="U38" s="683"/>
    </row>
    <row r="39" ht="31.5" customHeight="1" spans="1:21">
      <c r="A39" s="186">
        <v>2021</v>
      </c>
      <c r="B39" s="551">
        <v>44470</v>
      </c>
      <c r="C39" s="195">
        <v>715</v>
      </c>
      <c r="D39" s="196">
        <v>58388.11</v>
      </c>
      <c r="E39" s="552">
        <v>5121</v>
      </c>
      <c r="F39" s="553"/>
      <c r="G39" s="554"/>
      <c r="H39" s="555"/>
      <c r="I39" s="195">
        <v>229</v>
      </c>
      <c r="J39" s="196">
        <v>26280.45</v>
      </c>
      <c r="K39" s="577">
        <v>1077</v>
      </c>
      <c r="L39" s="195">
        <v>155</v>
      </c>
      <c r="M39" s="196">
        <v>30595.92</v>
      </c>
      <c r="N39" s="603">
        <v>12050</v>
      </c>
      <c r="O39" s="604">
        <f t="shared" ref="O39" si="4">C39+I39+L39</f>
        <v>1099</v>
      </c>
      <c r="P39" s="605">
        <f t="shared" ref="P39:P40" si="5">D39+E39+J39+K39+M39+N39</f>
        <v>133512.48</v>
      </c>
      <c r="Q39" s="641"/>
      <c r="R39" s="684">
        <v>502</v>
      </c>
      <c r="S39" s="685">
        <v>11585</v>
      </c>
      <c r="T39" s="627"/>
      <c r="U39" s="686">
        <f t="shared" ref="U39:U40" si="6">P39+S39</f>
        <v>145097.48</v>
      </c>
    </row>
    <row r="40" ht="32.25" customHeight="1" spans="1:21">
      <c r="A40" s="556">
        <v>2022</v>
      </c>
      <c r="B40" s="557">
        <v>44835</v>
      </c>
      <c r="C40" s="197">
        <v>1022</v>
      </c>
      <c r="D40" s="558">
        <v>57637.97</v>
      </c>
      <c r="E40" s="559">
        <v>4465</v>
      </c>
      <c r="F40" s="560"/>
      <c r="G40" s="561"/>
      <c r="H40" s="562"/>
      <c r="I40" s="197">
        <v>271</v>
      </c>
      <c r="J40" s="362">
        <v>24286.7</v>
      </c>
      <c r="K40" s="606">
        <v>270</v>
      </c>
      <c r="L40" s="197">
        <v>132</v>
      </c>
      <c r="M40" s="558">
        <v>38602.2</v>
      </c>
      <c r="N40" s="607">
        <v>8610</v>
      </c>
      <c r="O40" s="608">
        <v>1425</v>
      </c>
      <c r="P40" s="609">
        <f t="shared" si="5"/>
        <v>133871.87</v>
      </c>
      <c r="Q40" s="641"/>
      <c r="R40" s="687">
        <v>30</v>
      </c>
      <c r="S40" s="688">
        <v>1111</v>
      </c>
      <c r="T40" s="689"/>
      <c r="U40" s="686">
        <f t="shared" si="6"/>
        <v>134982.87</v>
      </c>
    </row>
    <row r="41" ht="32.25" customHeight="1" spans="2:21">
      <c r="B41" s="557">
        <v>45200</v>
      </c>
      <c r="C41" s="198">
        <v>702</v>
      </c>
      <c r="D41" s="563">
        <v>32242.18</v>
      </c>
      <c r="E41" s="564">
        <v>7298</v>
      </c>
      <c r="F41" s="565">
        <v>687</v>
      </c>
      <c r="G41" s="563">
        <v>35567.73</v>
      </c>
      <c r="H41" s="566">
        <v>8213</v>
      </c>
      <c r="I41" s="198">
        <v>204</v>
      </c>
      <c r="J41" s="610">
        <v>21843.68</v>
      </c>
      <c r="K41" s="566">
        <v>1125</v>
      </c>
      <c r="L41" s="198">
        <v>142</v>
      </c>
      <c r="M41" s="563">
        <v>20292.08</v>
      </c>
      <c r="N41" s="611">
        <v>11095</v>
      </c>
      <c r="O41" s="612">
        <v>1735</v>
      </c>
      <c r="P41" s="613">
        <v>137676.67</v>
      </c>
      <c r="Q41" s="641"/>
      <c r="R41" s="664" t="s">
        <v>32</v>
      </c>
      <c r="S41" s="665"/>
      <c r="T41" s="689"/>
      <c r="U41" s="613">
        <v>137676.67</v>
      </c>
    </row>
    <row r="42" ht="27" customHeight="1" spans="2:21">
      <c r="B42" s="567"/>
      <c r="C42" s="568"/>
      <c r="D42" s="569"/>
      <c r="E42" s="569"/>
      <c r="F42" s="568"/>
      <c r="G42" s="569"/>
      <c r="H42" s="569"/>
      <c r="I42" s="568"/>
      <c r="J42" s="569"/>
      <c r="K42" s="614"/>
      <c r="L42" s="568"/>
      <c r="M42" s="569"/>
      <c r="N42" s="614"/>
      <c r="O42" s="578"/>
      <c r="P42" s="578"/>
      <c r="Q42" s="627"/>
      <c r="R42" s="690"/>
      <c r="S42" s="690"/>
      <c r="T42" s="627"/>
      <c r="U42" s="691"/>
    </row>
    <row r="43" ht="33.75" customHeight="1" spans="2:21">
      <c r="B43" s="551">
        <v>44501</v>
      </c>
      <c r="C43" s="188">
        <v>586</v>
      </c>
      <c r="D43" s="189">
        <v>57315.33</v>
      </c>
      <c r="E43" s="115">
        <v>13418</v>
      </c>
      <c r="F43" s="570"/>
      <c r="G43" s="571"/>
      <c r="H43" s="116"/>
      <c r="I43" s="216">
        <v>213</v>
      </c>
      <c r="J43" s="189">
        <v>23131</v>
      </c>
      <c r="K43" s="116">
        <v>947</v>
      </c>
      <c r="L43" s="188">
        <v>184</v>
      </c>
      <c r="M43" s="615">
        <v>48860.16</v>
      </c>
      <c r="N43" s="137">
        <v>8850</v>
      </c>
      <c r="O43" s="616">
        <v>983</v>
      </c>
      <c r="P43" s="279">
        <f t="shared" ref="P43:P48" si="7">D43+E43+J43+K43+M43+N43</f>
        <v>152521.49</v>
      </c>
      <c r="Q43" s="213"/>
      <c r="R43" s="259">
        <v>193</v>
      </c>
      <c r="S43" s="260">
        <v>4530</v>
      </c>
      <c r="T43" s="692"/>
      <c r="U43" s="279">
        <f t="shared" ref="U43:U44" si="8">P43+S43</f>
        <v>157051.49</v>
      </c>
    </row>
    <row r="44" ht="30" customHeight="1" spans="2:21">
      <c r="B44" s="557">
        <v>44866</v>
      </c>
      <c r="C44" s="193">
        <v>1008</v>
      </c>
      <c r="D44" s="194">
        <v>53506.4</v>
      </c>
      <c r="E44" s="125">
        <v>4340</v>
      </c>
      <c r="F44" s="193"/>
      <c r="G44" s="194"/>
      <c r="H44" s="126"/>
      <c r="I44" s="225">
        <v>201</v>
      </c>
      <c r="J44" s="194">
        <v>14770.11</v>
      </c>
      <c r="K44" s="126">
        <v>525</v>
      </c>
      <c r="L44" s="193">
        <v>131</v>
      </c>
      <c r="M44" s="617">
        <v>40143.2</v>
      </c>
      <c r="N44" s="126">
        <v>7415</v>
      </c>
      <c r="O44" s="618">
        <v>1340</v>
      </c>
      <c r="P44" s="619">
        <f t="shared" si="7"/>
        <v>120699.71</v>
      </c>
      <c r="Q44" s="302"/>
      <c r="R44" s="246">
        <v>107</v>
      </c>
      <c r="S44" s="247">
        <v>3168</v>
      </c>
      <c r="T44" s="692"/>
      <c r="U44" s="279">
        <f t="shared" si="8"/>
        <v>123867.71</v>
      </c>
    </row>
    <row r="45" ht="30" customHeight="1" spans="2:21">
      <c r="B45" s="572"/>
      <c r="C45" s="266"/>
      <c r="D45" s="573"/>
      <c r="E45" s="573"/>
      <c r="F45" s="266"/>
      <c r="G45" s="573"/>
      <c r="H45" s="573"/>
      <c r="I45" s="266"/>
      <c r="J45" s="573"/>
      <c r="K45" s="620"/>
      <c r="L45" s="266"/>
      <c r="M45" s="573"/>
      <c r="N45" s="620"/>
      <c r="O45" s="621"/>
      <c r="P45" s="621"/>
      <c r="Q45" s="210"/>
      <c r="R45" s="573"/>
      <c r="S45" s="573"/>
      <c r="T45" s="213"/>
      <c r="U45" s="494"/>
    </row>
    <row r="46" ht="23.25" customHeight="1" spans="2:21">
      <c r="B46" s="567"/>
      <c r="C46" s="568"/>
      <c r="D46" s="569"/>
      <c r="E46" s="569"/>
      <c r="F46" s="568"/>
      <c r="G46" s="569"/>
      <c r="H46" s="569"/>
      <c r="I46" s="568"/>
      <c r="J46" s="569"/>
      <c r="K46" s="614"/>
      <c r="L46" s="568"/>
      <c r="M46" s="569"/>
      <c r="N46" s="614"/>
      <c r="O46" s="578"/>
      <c r="P46" s="621"/>
      <c r="Q46" s="641"/>
      <c r="R46" s="690"/>
      <c r="S46" s="690"/>
      <c r="T46" s="627"/>
      <c r="U46" s="693"/>
    </row>
    <row r="47" ht="31.5" customHeight="1" spans="2:21">
      <c r="B47" s="496">
        <v>44531</v>
      </c>
      <c r="C47" s="574">
        <v>556</v>
      </c>
      <c r="D47" s="196">
        <v>36914.64</v>
      </c>
      <c r="E47" s="552">
        <v>3377</v>
      </c>
      <c r="F47" s="575"/>
      <c r="G47" s="576"/>
      <c r="H47" s="577"/>
      <c r="I47" s="216">
        <v>255</v>
      </c>
      <c r="J47" s="196">
        <v>28784.24</v>
      </c>
      <c r="K47" s="577">
        <v>2030</v>
      </c>
      <c r="L47" s="195">
        <v>96</v>
      </c>
      <c r="M47" s="196">
        <v>43269.84</v>
      </c>
      <c r="N47" s="622">
        <v>3790</v>
      </c>
      <c r="O47" s="623">
        <v>907</v>
      </c>
      <c r="P47" s="624">
        <f t="shared" si="7"/>
        <v>118165.72</v>
      </c>
      <c r="Q47" s="631"/>
      <c r="R47" s="694">
        <v>513</v>
      </c>
      <c r="S47" s="695">
        <v>15230</v>
      </c>
      <c r="T47" s="631"/>
      <c r="U47" s="696">
        <f t="shared" ref="U47:U48" si="9">P47+S47</f>
        <v>133395.72</v>
      </c>
    </row>
    <row r="48" ht="28.5" customHeight="1" spans="2:21">
      <c r="B48" s="493">
        <v>44896</v>
      </c>
      <c r="C48" s="193">
        <v>911</v>
      </c>
      <c r="D48" s="194">
        <v>47840.15</v>
      </c>
      <c r="E48" s="125">
        <v>3700</v>
      </c>
      <c r="F48" s="193"/>
      <c r="G48" s="194"/>
      <c r="H48" s="126"/>
      <c r="I48" s="225">
        <v>410</v>
      </c>
      <c r="J48" s="194">
        <v>31224.86</v>
      </c>
      <c r="K48" s="126">
        <v>2664</v>
      </c>
      <c r="L48" s="193">
        <v>151</v>
      </c>
      <c r="M48" s="194">
        <v>61011.8</v>
      </c>
      <c r="N48" s="126">
        <v>7530</v>
      </c>
      <c r="O48" s="618">
        <v>1472</v>
      </c>
      <c r="P48" s="619">
        <f t="shared" si="7"/>
        <v>153970.81</v>
      </c>
      <c r="Q48" s="697"/>
      <c r="R48" s="698">
        <v>41</v>
      </c>
      <c r="S48" s="699">
        <v>1085</v>
      </c>
      <c r="T48" s="697"/>
      <c r="U48" s="696">
        <f t="shared" si="9"/>
        <v>155055.81</v>
      </c>
    </row>
    <row r="49" ht="15.75" spans="2:21">
      <c r="B49" s="578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78"/>
      <c r="P49" s="578"/>
      <c r="Q49" s="627"/>
      <c r="R49" s="569"/>
      <c r="S49" s="569"/>
      <c r="T49" s="627"/>
      <c r="U49" s="578"/>
    </row>
    <row r="50" ht="15.75" spans="2:21">
      <c r="B50" s="578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78"/>
      <c r="P50" s="578"/>
      <c r="Q50" s="627"/>
      <c r="R50" s="569"/>
      <c r="S50" s="569"/>
      <c r="T50" s="627"/>
      <c r="U50" s="578"/>
    </row>
    <row r="51" ht="15" customHeight="1" spans="17:20">
      <c r="Q51" s="627"/>
      <c r="T51" s="627"/>
    </row>
    <row r="52" ht="15" customHeight="1" spans="17:20">
      <c r="Q52" s="627"/>
      <c r="T52" s="627"/>
    </row>
    <row r="53" ht="15" customHeight="1" spans="17:20">
      <c r="Q53" s="627"/>
      <c r="T53" s="627"/>
    </row>
    <row r="54" ht="15" customHeight="1" spans="17:20">
      <c r="Q54" s="627"/>
      <c r="T54" s="627"/>
    </row>
    <row r="55" ht="15" customHeight="1" spans="17:20">
      <c r="Q55" s="627"/>
      <c r="T55" s="627"/>
    </row>
    <row r="56" ht="15.75" customHeight="1" spans="17:20">
      <c r="Q56" s="627"/>
      <c r="T56" s="627"/>
    </row>
    <row r="57" ht="15.75" customHeight="1" spans="17:20">
      <c r="Q57" s="627"/>
      <c r="T57" s="627"/>
    </row>
    <row r="58" ht="15.75" customHeight="1" spans="17:20">
      <c r="Q58" s="627"/>
      <c r="T58" s="627"/>
    </row>
    <row r="59" ht="15.75" customHeight="1" spans="17:20">
      <c r="Q59" s="627"/>
      <c r="T59" s="627"/>
    </row>
    <row r="60" ht="15.75" customHeight="1" spans="20:20">
      <c r="T60" s="627"/>
    </row>
  </sheetData>
  <mergeCells count="13">
    <mergeCell ref="C1:E1"/>
    <mergeCell ref="I1:K1"/>
    <mergeCell ref="L1:N1"/>
    <mergeCell ref="O1:P1"/>
    <mergeCell ref="R10:S10"/>
    <mergeCell ref="R17:S17"/>
    <mergeCell ref="R21:S21"/>
    <mergeCell ref="R22:S22"/>
    <mergeCell ref="R25:S25"/>
    <mergeCell ref="R29:S29"/>
    <mergeCell ref="R33:S33"/>
    <mergeCell ref="R37:S37"/>
    <mergeCell ref="R41:S41"/>
  </mergeCells>
  <printOptions horizontalCentered="1" verticalCentered="1"/>
  <pageMargins left="0.354330708661417" right="0.236220472440945" top="0.275590551181102" bottom="0.354330708661417" header="0.31496062992126" footer="0.31496062992126"/>
  <pageSetup paperSize="9" scale="6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48"/>
  <sheetViews>
    <sheetView topLeftCell="A31" workbookViewId="0">
      <selection activeCell="B47" sqref="B47"/>
    </sheetView>
  </sheetViews>
  <sheetFormatPr defaultColWidth="9" defaultRowHeight="15" outlineLevelCol="4"/>
  <cols>
    <col min="1" max="1" width="24.7142857142857" customWidth="1"/>
    <col min="2" max="2" width="34.1428571428571" customWidth="1"/>
    <col min="3" max="3" width="29" customWidth="1"/>
    <col min="4" max="4" width="29.4285714285714" customWidth="1"/>
    <col min="5" max="5" width="30.5714285714286" customWidth="1"/>
  </cols>
  <sheetData>
    <row r="1" ht="40.5" customHeight="1" spans="1:5">
      <c r="A1" s="30" t="s">
        <v>0</v>
      </c>
      <c r="B1" s="480" t="s">
        <v>4</v>
      </c>
      <c r="C1" s="31" t="s">
        <v>1</v>
      </c>
      <c r="D1" s="31" t="s">
        <v>2</v>
      </c>
      <c r="E1" s="481" t="s">
        <v>3</v>
      </c>
    </row>
    <row r="2" ht="39.75" customHeight="1" spans="1:5">
      <c r="A2" s="30"/>
      <c r="B2" s="482" t="s">
        <v>11</v>
      </c>
      <c r="C2" s="35" t="s">
        <v>8</v>
      </c>
      <c r="D2" s="35" t="s">
        <v>8</v>
      </c>
      <c r="E2" s="34" t="s">
        <v>8</v>
      </c>
    </row>
    <row r="3" ht="24.95" customHeight="1" spans="1:5">
      <c r="A3" s="37">
        <v>44197</v>
      </c>
      <c r="B3" s="38">
        <f>C3+E3</f>
        <v>581</v>
      </c>
      <c r="C3" s="40">
        <v>507</v>
      </c>
      <c r="D3" s="40">
        <v>0</v>
      </c>
      <c r="E3" s="85">
        <v>74</v>
      </c>
    </row>
    <row r="4" ht="24.95" customHeight="1" spans="1:5">
      <c r="A4" s="44">
        <v>44562</v>
      </c>
      <c r="B4" s="45">
        <v>865</v>
      </c>
      <c r="C4" s="47">
        <v>614</v>
      </c>
      <c r="D4" s="47">
        <v>183</v>
      </c>
      <c r="E4" s="87">
        <v>68</v>
      </c>
    </row>
    <row r="5" ht="24.95" customHeight="1" spans="1:5">
      <c r="A5" s="51" t="s">
        <v>35</v>
      </c>
      <c r="B5" s="52">
        <f>C5+D5+E5</f>
        <v>1368</v>
      </c>
      <c r="C5" s="54">
        <v>854</v>
      </c>
      <c r="D5" s="54">
        <v>422</v>
      </c>
      <c r="E5" s="88">
        <v>92</v>
      </c>
    </row>
    <row r="6" ht="24.95" customHeight="1" spans="1:5">
      <c r="A6" s="58"/>
      <c r="B6" s="59"/>
      <c r="C6" s="60"/>
      <c r="D6" s="60"/>
      <c r="E6" s="483"/>
    </row>
    <row r="7" ht="24.95" customHeight="1" spans="1:5">
      <c r="A7" s="37">
        <v>44228</v>
      </c>
      <c r="B7" s="38">
        <f>C7+D7++E7</f>
        <v>611</v>
      </c>
      <c r="C7" s="40">
        <v>554</v>
      </c>
      <c r="D7" s="40">
        <v>0</v>
      </c>
      <c r="E7" s="85">
        <v>57</v>
      </c>
    </row>
    <row r="8" ht="24.95" customHeight="1" spans="1:5">
      <c r="A8" s="44">
        <v>44593</v>
      </c>
      <c r="B8" s="45">
        <f>C8+D8++E8</f>
        <v>883</v>
      </c>
      <c r="C8" s="47">
        <v>549</v>
      </c>
      <c r="D8" s="47">
        <v>200</v>
      </c>
      <c r="E8" s="87">
        <v>134</v>
      </c>
    </row>
    <row r="9" ht="24.95" customHeight="1" spans="1:5">
      <c r="A9" s="64">
        <v>44958</v>
      </c>
      <c r="B9" s="52">
        <f>C9+D9++E9</f>
        <v>1285</v>
      </c>
      <c r="C9" s="54">
        <v>856</v>
      </c>
      <c r="D9" s="54">
        <v>321</v>
      </c>
      <c r="E9" s="88">
        <v>108</v>
      </c>
    </row>
    <row r="10" ht="24.95" customHeight="1" spans="1:5">
      <c r="A10" s="58"/>
      <c r="B10" s="59"/>
      <c r="C10" s="60"/>
      <c r="D10" s="60"/>
      <c r="E10" s="483"/>
    </row>
    <row r="11" ht="24.95" customHeight="1" spans="1:5">
      <c r="A11" s="37">
        <v>44256</v>
      </c>
      <c r="B11" s="38">
        <f>C11+D11+E11</f>
        <v>510</v>
      </c>
      <c r="C11" s="40">
        <v>470</v>
      </c>
      <c r="D11" s="40">
        <v>0</v>
      </c>
      <c r="E11" s="85">
        <v>40</v>
      </c>
    </row>
    <row r="12" ht="24.95" customHeight="1" spans="1:5">
      <c r="A12" s="44">
        <v>44621</v>
      </c>
      <c r="B12" s="45">
        <f>C12+D12+E12</f>
        <v>1079</v>
      </c>
      <c r="C12" s="47">
        <v>731</v>
      </c>
      <c r="D12" s="47">
        <v>191</v>
      </c>
      <c r="E12" s="87">
        <v>157</v>
      </c>
    </row>
    <row r="13" ht="24.95" customHeight="1" spans="1:5">
      <c r="A13" s="64">
        <v>44986</v>
      </c>
      <c r="B13" s="52">
        <f>C13+D13+E13</f>
        <v>1248</v>
      </c>
      <c r="C13" s="54">
        <v>830</v>
      </c>
      <c r="D13" s="54">
        <v>288</v>
      </c>
      <c r="E13" s="88">
        <v>130</v>
      </c>
    </row>
    <row r="14" ht="24.95" customHeight="1" spans="1:5">
      <c r="A14" s="58"/>
      <c r="B14" s="59"/>
      <c r="C14" s="60"/>
      <c r="D14" s="60"/>
      <c r="E14" s="483"/>
    </row>
    <row r="15" ht="24.95" customHeight="1" spans="1:5">
      <c r="A15" s="37">
        <v>44287</v>
      </c>
      <c r="B15" s="65">
        <f>C15+D15+E15</f>
        <v>493</v>
      </c>
      <c r="C15" s="40">
        <v>357</v>
      </c>
      <c r="D15" s="40">
        <v>38</v>
      </c>
      <c r="E15" s="85">
        <v>98</v>
      </c>
    </row>
    <row r="16" ht="24.95" customHeight="1" spans="1:5">
      <c r="A16" s="44">
        <v>44652</v>
      </c>
      <c r="B16" s="45">
        <f>C16+D16+E16</f>
        <v>737</v>
      </c>
      <c r="C16" s="47">
        <v>506</v>
      </c>
      <c r="D16" s="47">
        <v>95</v>
      </c>
      <c r="E16" s="87">
        <v>136</v>
      </c>
    </row>
    <row r="17" ht="24.95" customHeight="1" spans="1:5">
      <c r="A17" s="64">
        <v>45017</v>
      </c>
      <c r="B17" s="67">
        <f>C17+D17+E17</f>
        <v>915</v>
      </c>
      <c r="C17" s="54">
        <v>645</v>
      </c>
      <c r="D17" s="54">
        <v>252</v>
      </c>
      <c r="E17" s="88">
        <v>18</v>
      </c>
    </row>
    <row r="18" ht="24.95" customHeight="1" spans="1:5">
      <c r="A18" s="58"/>
      <c r="B18" s="59"/>
      <c r="C18" s="60"/>
      <c r="D18" s="60"/>
      <c r="E18" s="483"/>
    </row>
    <row r="19" ht="24.95" customHeight="1" spans="1:5">
      <c r="A19" s="37">
        <v>44317</v>
      </c>
      <c r="B19" s="38">
        <f>C19+D19+E19</f>
        <v>654</v>
      </c>
      <c r="C19" s="40">
        <v>436</v>
      </c>
      <c r="D19" s="40">
        <v>96</v>
      </c>
      <c r="E19" s="85">
        <v>122</v>
      </c>
    </row>
    <row r="20" ht="24.95" customHeight="1" spans="1:5">
      <c r="A20" s="44">
        <v>44682</v>
      </c>
      <c r="B20" s="45">
        <v>964</v>
      </c>
      <c r="C20" s="47">
        <v>609</v>
      </c>
      <c r="D20" s="47">
        <v>198</v>
      </c>
      <c r="E20" s="87">
        <v>157</v>
      </c>
    </row>
    <row r="21" ht="24.95" customHeight="1" spans="1:5">
      <c r="A21" s="51" t="s">
        <v>36</v>
      </c>
      <c r="B21" s="52">
        <f>C21+D21+E21</f>
        <v>1290</v>
      </c>
      <c r="C21" s="54">
        <v>871</v>
      </c>
      <c r="D21" s="54">
        <v>234</v>
      </c>
      <c r="E21" s="88">
        <v>185</v>
      </c>
    </row>
    <row r="22" ht="24.95" customHeight="1" spans="1:5">
      <c r="A22" s="58"/>
      <c r="B22" s="59"/>
      <c r="C22" s="60"/>
      <c r="D22" s="60"/>
      <c r="E22" s="483"/>
    </row>
    <row r="23" ht="24.95" customHeight="1" spans="1:5">
      <c r="A23" s="37">
        <v>44348</v>
      </c>
      <c r="B23" s="38">
        <f>C23+D23+E23</f>
        <v>932</v>
      </c>
      <c r="C23" s="40">
        <v>640</v>
      </c>
      <c r="D23" s="40">
        <v>147</v>
      </c>
      <c r="E23" s="85">
        <v>145</v>
      </c>
    </row>
    <row r="24" ht="24.95" customHeight="1" spans="1:5">
      <c r="A24" s="70">
        <v>44713</v>
      </c>
      <c r="B24" s="71">
        <v>1164</v>
      </c>
      <c r="C24" s="73">
        <v>907</v>
      </c>
      <c r="D24" s="73">
        <v>131</v>
      </c>
      <c r="E24" s="484">
        <v>126</v>
      </c>
    </row>
    <row r="25" ht="24.95" customHeight="1" spans="1:5">
      <c r="A25" s="70">
        <v>45078</v>
      </c>
      <c r="B25" s="76">
        <v>1172</v>
      </c>
      <c r="C25" s="75">
        <v>856</v>
      </c>
      <c r="D25" s="54">
        <v>195</v>
      </c>
      <c r="E25" s="88">
        <v>121</v>
      </c>
    </row>
    <row r="26" ht="24.95" customHeight="1" spans="1:5">
      <c r="A26" s="80"/>
      <c r="B26" s="81"/>
      <c r="C26" s="82"/>
      <c r="D26" s="82"/>
      <c r="E26" s="485"/>
    </row>
    <row r="27" ht="24.95" customHeight="1" spans="1:5">
      <c r="A27" s="37">
        <v>44378</v>
      </c>
      <c r="B27" s="38">
        <f>C27+D27+E27</f>
        <v>909</v>
      </c>
      <c r="C27" s="85">
        <v>642</v>
      </c>
      <c r="D27" s="40">
        <v>154</v>
      </c>
      <c r="E27" s="85">
        <v>113</v>
      </c>
    </row>
    <row r="28" ht="24.95" customHeight="1" spans="1:5">
      <c r="A28" s="44">
        <v>44743</v>
      </c>
      <c r="B28" s="45">
        <v>1212</v>
      </c>
      <c r="C28" s="87">
        <v>862</v>
      </c>
      <c r="D28" s="47">
        <v>260</v>
      </c>
      <c r="E28" s="87">
        <v>95</v>
      </c>
    </row>
    <row r="29" ht="24.95" customHeight="1" spans="1:5">
      <c r="A29" s="64">
        <v>45108</v>
      </c>
      <c r="B29" s="76">
        <v>1618</v>
      </c>
      <c r="C29" s="88">
        <v>1210</v>
      </c>
      <c r="D29" s="54">
        <v>272</v>
      </c>
      <c r="E29" s="88">
        <v>136</v>
      </c>
    </row>
    <row r="30" ht="24.95" customHeight="1" spans="1:5">
      <c r="A30" s="58"/>
      <c r="B30" s="59"/>
      <c r="C30" s="60"/>
      <c r="D30" s="60"/>
      <c r="E30" s="483"/>
    </row>
    <row r="31" ht="24.95" customHeight="1" spans="1:5">
      <c r="A31" s="37">
        <v>44409</v>
      </c>
      <c r="B31" s="38">
        <f>C31+D31+E31</f>
        <v>1031</v>
      </c>
      <c r="C31" s="40">
        <v>644</v>
      </c>
      <c r="D31" s="40">
        <v>232</v>
      </c>
      <c r="E31" s="85">
        <v>155</v>
      </c>
    </row>
    <row r="32" ht="24.95" customHeight="1" spans="1:5">
      <c r="A32" s="64">
        <v>44774</v>
      </c>
      <c r="B32" s="71">
        <v>1322</v>
      </c>
      <c r="C32" s="73">
        <v>1098</v>
      </c>
      <c r="D32" s="73">
        <v>73</v>
      </c>
      <c r="E32" s="484">
        <v>151</v>
      </c>
    </row>
    <row r="33" ht="24.95" customHeight="1" spans="1:5">
      <c r="A33" s="64">
        <v>45139</v>
      </c>
      <c r="B33" s="52">
        <v>1633</v>
      </c>
      <c r="C33" s="54">
        <v>1453</v>
      </c>
      <c r="D33" s="54">
        <v>79</v>
      </c>
      <c r="E33" s="88">
        <v>101</v>
      </c>
    </row>
    <row r="34" ht="24.95" customHeight="1" spans="1:5">
      <c r="A34" s="58"/>
      <c r="B34" s="59"/>
      <c r="C34" s="60"/>
      <c r="D34" s="60"/>
      <c r="E34" s="483"/>
    </row>
    <row r="35" ht="24.95" customHeight="1" spans="1:5">
      <c r="A35" s="37">
        <v>44440</v>
      </c>
      <c r="B35" s="38">
        <f>C35+D35+E35</f>
        <v>1052</v>
      </c>
      <c r="C35" s="40">
        <v>676</v>
      </c>
      <c r="D35" s="40">
        <v>233</v>
      </c>
      <c r="E35" s="85">
        <v>143</v>
      </c>
    </row>
    <row r="36" ht="24.95" customHeight="1" spans="1:5">
      <c r="A36" s="93">
        <v>44805</v>
      </c>
      <c r="B36" s="94">
        <v>1318</v>
      </c>
      <c r="C36" s="96">
        <v>967</v>
      </c>
      <c r="D36" s="98">
        <v>244</v>
      </c>
      <c r="E36" s="484">
        <v>107</v>
      </c>
    </row>
    <row r="37" ht="24.95" customHeight="1" spans="1:5">
      <c r="A37" s="64">
        <v>45170</v>
      </c>
      <c r="B37" s="52">
        <v>1676</v>
      </c>
      <c r="C37" s="54">
        <v>1368</v>
      </c>
      <c r="D37" s="54">
        <v>165</v>
      </c>
      <c r="E37" s="88">
        <v>143</v>
      </c>
    </row>
    <row r="38" ht="24.95" customHeight="1" spans="1:5">
      <c r="A38" s="100"/>
      <c r="B38" s="101"/>
      <c r="C38" s="103"/>
      <c r="D38" s="103"/>
      <c r="E38" s="486"/>
    </row>
    <row r="39" ht="24.95" customHeight="1" spans="1:5">
      <c r="A39" s="37">
        <v>44470</v>
      </c>
      <c r="B39" s="38">
        <f>C39+D39+E39</f>
        <v>1099</v>
      </c>
      <c r="C39" s="40">
        <v>715</v>
      </c>
      <c r="D39" s="40">
        <v>229</v>
      </c>
      <c r="E39" s="85">
        <v>155</v>
      </c>
    </row>
    <row r="40" ht="24.95" customHeight="1" spans="1:5">
      <c r="A40" s="64">
        <v>44835</v>
      </c>
      <c r="B40" s="45">
        <v>1425</v>
      </c>
      <c r="C40" s="47">
        <v>1022</v>
      </c>
      <c r="D40" s="47">
        <v>271</v>
      </c>
      <c r="E40" s="87">
        <v>132</v>
      </c>
    </row>
    <row r="41" ht="24.95" customHeight="1" spans="1:5">
      <c r="A41" s="64">
        <v>45200</v>
      </c>
      <c r="B41" s="52">
        <v>1735</v>
      </c>
      <c r="C41" s="54">
        <v>1389</v>
      </c>
      <c r="D41" s="54">
        <v>204</v>
      </c>
      <c r="E41" s="88">
        <v>142</v>
      </c>
    </row>
    <row r="42" ht="24.95" customHeight="1" spans="1:5">
      <c r="A42" s="111"/>
      <c r="B42" s="112"/>
      <c r="C42" s="111"/>
      <c r="D42" s="111"/>
      <c r="E42" s="112"/>
    </row>
    <row r="43" ht="24.95" customHeight="1" spans="1:5">
      <c r="A43" s="113">
        <v>44501</v>
      </c>
      <c r="B43" s="487">
        <v>983</v>
      </c>
      <c r="C43" s="114">
        <v>586</v>
      </c>
      <c r="D43" s="114">
        <v>213</v>
      </c>
      <c r="E43" s="488">
        <v>184</v>
      </c>
    </row>
    <row r="44" ht="24.95" customHeight="1" spans="1:5">
      <c r="A44" s="118">
        <v>44866</v>
      </c>
      <c r="B44" s="489">
        <v>1340</v>
      </c>
      <c r="C44" s="119">
        <v>1008</v>
      </c>
      <c r="D44" s="119">
        <v>201</v>
      </c>
      <c r="E44" s="490">
        <v>131</v>
      </c>
    </row>
    <row r="45" ht="24.95" customHeight="1" spans="1:5">
      <c r="A45" s="123">
        <v>45231</v>
      </c>
      <c r="B45" s="491">
        <v>1556</v>
      </c>
      <c r="C45" s="124">
        <v>1240</v>
      </c>
      <c r="D45" s="124">
        <v>187</v>
      </c>
      <c r="E45" s="492">
        <v>129</v>
      </c>
    </row>
    <row r="46" ht="24.95" customHeight="1" spans="1:5">
      <c r="A46" s="493"/>
      <c r="B46" s="494"/>
      <c r="C46" s="495"/>
      <c r="D46" s="495"/>
      <c r="E46" s="495"/>
    </row>
    <row r="47" ht="24.95" customHeight="1" spans="1:5">
      <c r="A47" s="496">
        <v>44531</v>
      </c>
      <c r="B47" s="497">
        <v>907</v>
      </c>
      <c r="C47" s="498">
        <v>556</v>
      </c>
      <c r="D47" s="114">
        <v>255</v>
      </c>
      <c r="E47" s="114">
        <v>96</v>
      </c>
    </row>
    <row r="48" ht="24.95" customHeight="1" spans="1:5">
      <c r="A48" s="493">
        <v>44896</v>
      </c>
      <c r="B48" s="491">
        <v>1472</v>
      </c>
      <c r="C48" s="499">
        <v>911</v>
      </c>
      <c r="D48" s="499">
        <v>410</v>
      </c>
      <c r="E48" s="499">
        <v>151</v>
      </c>
    </row>
  </sheetData>
  <pageMargins left="0.7" right="0.7" top="0.75" bottom="0.78" header="0.3" footer="0.3"/>
  <pageSetup paperSize="1" scale="60" orientation="portrait"/>
  <headerFooter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74"/>
  <sheetViews>
    <sheetView tabSelected="1" topLeftCell="A19" workbookViewId="0">
      <selection activeCell="A1" sqref="A1:Q66"/>
    </sheetView>
  </sheetViews>
  <sheetFormatPr defaultColWidth="9" defaultRowHeight="15"/>
  <cols>
    <col min="1" max="1" width="16.4285714285714" customWidth="1"/>
    <col min="2" max="2" width="19.4285714285714" customWidth="1"/>
    <col min="3" max="3" width="19.8571428571429" customWidth="1"/>
    <col min="4" max="4" width="18.5714285714286" customWidth="1"/>
    <col min="5" max="5" width="17.2857142857143" customWidth="1"/>
    <col min="6" max="6" width="20.1428571428571" customWidth="1"/>
    <col min="7" max="7" width="14.5714285714286" customWidth="1"/>
    <col min="8" max="8" width="17.2857142857143" customWidth="1"/>
    <col min="9" max="9" width="16.1428571428571" customWidth="1"/>
    <col min="10" max="10" width="14.1428571428571" customWidth="1"/>
    <col min="11" max="11" width="18.8571428571429" customWidth="1"/>
    <col min="12" max="12" width="19.8571428571429" customWidth="1"/>
    <col min="13" max="13" width="3.57142857142857" customWidth="1"/>
    <col min="14" max="14" width="9.28571428571429" customWidth="1"/>
    <col min="15" max="15" width="12.7142857142857" customWidth="1"/>
    <col min="16" max="16" width="4" customWidth="1"/>
    <col min="17" max="17" width="18.2857142857143" customWidth="1"/>
  </cols>
  <sheetData>
    <row r="1" ht="30.75" customHeight="1" spans="1:17">
      <c r="A1" s="304" t="s">
        <v>0</v>
      </c>
      <c r="B1" s="305" t="s">
        <v>1</v>
      </c>
      <c r="C1" s="306"/>
      <c r="D1" s="306"/>
      <c r="E1" s="305" t="s">
        <v>2</v>
      </c>
      <c r="F1" s="306"/>
      <c r="G1" s="307"/>
      <c r="H1" s="305" t="s">
        <v>3</v>
      </c>
      <c r="I1" s="306"/>
      <c r="J1" s="307"/>
      <c r="K1" s="372" t="s">
        <v>4</v>
      </c>
      <c r="L1" s="373"/>
      <c r="M1" s="374"/>
      <c r="N1" s="375" t="s">
        <v>5</v>
      </c>
      <c r="O1" s="376" t="s">
        <v>6</v>
      </c>
      <c r="P1" s="374"/>
      <c r="Q1" s="453" t="s">
        <v>7</v>
      </c>
    </row>
    <row r="2" ht="30.75" customHeight="1" spans="1:17">
      <c r="A2" s="304"/>
      <c r="B2" s="308" t="s">
        <v>8</v>
      </c>
      <c r="C2" s="309" t="s">
        <v>9</v>
      </c>
      <c r="D2" s="310" t="s">
        <v>10</v>
      </c>
      <c r="E2" s="311" t="s">
        <v>8</v>
      </c>
      <c r="F2" s="309" t="s">
        <v>9</v>
      </c>
      <c r="G2" s="310" t="s">
        <v>10</v>
      </c>
      <c r="H2" s="308" t="s">
        <v>8</v>
      </c>
      <c r="I2" s="309" t="s">
        <v>9</v>
      </c>
      <c r="J2" s="310" t="s">
        <v>10</v>
      </c>
      <c r="K2" s="377" t="s">
        <v>11</v>
      </c>
      <c r="L2" s="378" t="s">
        <v>12</v>
      </c>
      <c r="M2" s="379"/>
      <c r="N2" s="380"/>
      <c r="O2" s="381"/>
      <c r="P2" s="379"/>
      <c r="Q2" s="454"/>
    </row>
    <row r="3" ht="24.95" customHeight="1" spans="1:17">
      <c r="A3" s="237">
        <v>44197</v>
      </c>
      <c r="B3" s="173">
        <v>507</v>
      </c>
      <c r="C3" s="174">
        <v>54643.98</v>
      </c>
      <c r="D3" s="92">
        <v>6919</v>
      </c>
      <c r="E3" s="173">
        <v>0</v>
      </c>
      <c r="F3" s="312">
        <v>0</v>
      </c>
      <c r="G3" s="92">
        <v>0</v>
      </c>
      <c r="H3" s="173">
        <v>74</v>
      </c>
      <c r="I3" s="174">
        <v>11032</v>
      </c>
      <c r="J3" s="133">
        <v>6700</v>
      </c>
      <c r="K3" s="382">
        <f t="shared" ref="K3:K7" si="0">B3+E3+H3</f>
        <v>581</v>
      </c>
      <c r="L3" s="383">
        <f>C3+D3+F3+G3+I3+J3</f>
        <v>79294.98</v>
      </c>
      <c r="M3" s="379"/>
      <c r="N3" s="384">
        <v>21</v>
      </c>
      <c r="O3" s="385">
        <v>647</v>
      </c>
      <c r="P3" s="379"/>
      <c r="Q3" s="455">
        <f>L3+O3</f>
        <v>79941.98</v>
      </c>
    </row>
    <row r="4" ht="24.95" customHeight="1" spans="1:17">
      <c r="A4" s="238">
        <v>44562</v>
      </c>
      <c r="B4" s="183">
        <v>614</v>
      </c>
      <c r="C4" s="184">
        <v>42207.53</v>
      </c>
      <c r="D4" s="108">
        <v>4490</v>
      </c>
      <c r="E4" s="183">
        <v>183</v>
      </c>
      <c r="F4" s="184">
        <v>18115.97</v>
      </c>
      <c r="G4" s="108">
        <v>655</v>
      </c>
      <c r="H4" s="183">
        <v>68</v>
      </c>
      <c r="I4" s="184">
        <v>11782.4</v>
      </c>
      <c r="J4" s="371">
        <v>4070</v>
      </c>
      <c r="K4" s="386">
        <f t="shared" si="0"/>
        <v>865</v>
      </c>
      <c r="L4" s="387">
        <f>C4+D4+F4+G4+I4+J4</f>
        <v>81320.9</v>
      </c>
      <c r="M4" s="379"/>
      <c r="N4" s="384">
        <v>736</v>
      </c>
      <c r="O4" s="385">
        <v>17795</v>
      </c>
      <c r="P4" s="379"/>
      <c r="Q4" s="455">
        <f>L4+O4</f>
        <v>99115.9</v>
      </c>
    </row>
    <row r="5" ht="24.95" customHeight="1" spans="1:17">
      <c r="A5" s="245" t="s">
        <v>35</v>
      </c>
      <c r="B5" s="176">
        <v>854</v>
      </c>
      <c r="C5" s="313">
        <v>55081.29</v>
      </c>
      <c r="D5" s="134">
        <v>3236</v>
      </c>
      <c r="E5" s="176">
        <v>422</v>
      </c>
      <c r="F5" s="313">
        <v>46559.26</v>
      </c>
      <c r="G5" s="134">
        <v>2446</v>
      </c>
      <c r="H5" s="176">
        <v>92</v>
      </c>
      <c r="I5" s="313">
        <v>24135.68</v>
      </c>
      <c r="J5" s="134">
        <v>7220</v>
      </c>
      <c r="K5" s="386">
        <f t="shared" si="0"/>
        <v>1368</v>
      </c>
      <c r="L5" s="388">
        <f>C5+D5+F5+G5+I5+J5</f>
        <v>138678.23</v>
      </c>
      <c r="M5" s="379"/>
      <c r="N5" s="389">
        <v>66</v>
      </c>
      <c r="O5" s="390">
        <v>1625</v>
      </c>
      <c r="P5" s="379"/>
      <c r="Q5" s="456">
        <f>L5+O5</f>
        <v>140303.23</v>
      </c>
    </row>
    <row r="6" ht="24.95" customHeight="1" spans="1:17">
      <c r="A6" s="314" t="s">
        <v>37</v>
      </c>
      <c r="B6" s="315">
        <v>1420</v>
      </c>
      <c r="C6" s="316">
        <v>87739.84</v>
      </c>
      <c r="D6" s="317">
        <v>5588</v>
      </c>
      <c r="E6" s="315">
        <v>149</v>
      </c>
      <c r="F6" s="316">
        <v>23115.69</v>
      </c>
      <c r="G6" s="317">
        <v>500</v>
      </c>
      <c r="H6" s="315">
        <v>176</v>
      </c>
      <c r="I6" s="316">
        <v>14692</v>
      </c>
      <c r="J6" s="317">
        <v>14120</v>
      </c>
      <c r="K6" s="386">
        <f t="shared" si="0"/>
        <v>1745</v>
      </c>
      <c r="L6" s="387">
        <f>C6+D6+F6+G6+I6+J6</f>
        <v>145755.53</v>
      </c>
      <c r="M6" s="379"/>
      <c r="N6" s="391"/>
      <c r="O6" s="391"/>
      <c r="P6" s="379"/>
      <c r="Q6" s="457">
        <f>L6</f>
        <v>145755.53</v>
      </c>
    </row>
    <row r="7" ht="24.95" customHeight="1" spans="1:17">
      <c r="A7" s="314" t="s">
        <v>38</v>
      </c>
      <c r="B7" s="315">
        <v>2160</v>
      </c>
      <c r="C7" s="316">
        <v>126528.16</v>
      </c>
      <c r="D7" s="317">
        <v>6907</v>
      </c>
      <c r="E7" s="315">
        <v>119</v>
      </c>
      <c r="F7" s="316">
        <v>15109</v>
      </c>
      <c r="G7" s="317">
        <v>750</v>
      </c>
      <c r="H7" s="315">
        <v>136</v>
      </c>
      <c r="I7" s="316">
        <v>8653</v>
      </c>
      <c r="J7" s="317">
        <v>12235</v>
      </c>
      <c r="K7" s="386">
        <f t="shared" si="0"/>
        <v>2415</v>
      </c>
      <c r="L7" s="387">
        <f>C7+D7+F7+G7+I7+J7</f>
        <v>170182.16</v>
      </c>
      <c r="M7" s="379"/>
      <c r="N7" s="392"/>
      <c r="O7" s="392"/>
      <c r="P7" s="379"/>
      <c r="Q7" s="457">
        <f>L7</f>
        <v>170182.16</v>
      </c>
    </row>
    <row r="8" ht="24.95" customHeight="1" spans="1:17">
      <c r="A8" s="240"/>
      <c r="B8" s="318"/>
      <c r="C8" s="319"/>
      <c r="D8" s="320"/>
      <c r="E8" s="318"/>
      <c r="F8" s="319"/>
      <c r="G8" s="320"/>
      <c r="H8" s="318"/>
      <c r="I8" s="319"/>
      <c r="J8" s="320"/>
      <c r="K8" s="318"/>
      <c r="L8" s="393"/>
      <c r="M8" s="379"/>
      <c r="N8" s="394"/>
      <c r="O8" s="395"/>
      <c r="P8" s="379"/>
      <c r="Q8" s="458"/>
    </row>
    <row r="9" ht="24.95" customHeight="1" spans="1:17">
      <c r="A9" s="237">
        <v>44228</v>
      </c>
      <c r="B9" s="173">
        <v>554</v>
      </c>
      <c r="C9" s="174">
        <v>51363.14</v>
      </c>
      <c r="D9" s="92">
        <v>8107</v>
      </c>
      <c r="E9" s="173">
        <v>0</v>
      </c>
      <c r="F9" s="312">
        <v>0</v>
      </c>
      <c r="G9" s="92">
        <v>0</v>
      </c>
      <c r="H9" s="321">
        <v>57</v>
      </c>
      <c r="I9" s="396">
        <v>33527.36</v>
      </c>
      <c r="J9" s="397">
        <v>13343</v>
      </c>
      <c r="K9" s="398">
        <f>B9+E9++H9</f>
        <v>611</v>
      </c>
      <c r="L9" s="383">
        <f>C9+D9+F9+G9+I9+J9</f>
        <v>106340.5</v>
      </c>
      <c r="M9" s="379"/>
      <c r="N9" s="384">
        <v>87</v>
      </c>
      <c r="O9" s="385">
        <v>2031</v>
      </c>
      <c r="P9" s="379"/>
      <c r="Q9" s="455">
        <f>L9+O9</f>
        <v>108371.5</v>
      </c>
    </row>
    <row r="10" ht="24.95" customHeight="1" spans="1:17">
      <c r="A10" s="238">
        <v>44593</v>
      </c>
      <c r="B10" s="183">
        <v>549</v>
      </c>
      <c r="C10" s="184">
        <v>38624.6</v>
      </c>
      <c r="D10" s="108">
        <v>2926</v>
      </c>
      <c r="E10" s="183">
        <v>200</v>
      </c>
      <c r="F10" s="184">
        <v>19935.96</v>
      </c>
      <c r="G10" s="108">
        <v>1934</v>
      </c>
      <c r="H10" s="322">
        <v>134</v>
      </c>
      <c r="I10" s="399">
        <v>14905.2</v>
      </c>
      <c r="J10" s="400">
        <v>9644</v>
      </c>
      <c r="K10" s="401">
        <f>B10+E10++H10</f>
        <v>883</v>
      </c>
      <c r="L10" s="387">
        <f>C10+D10+F10+G10+I10+J10</f>
        <v>87969.76</v>
      </c>
      <c r="M10" s="379"/>
      <c r="N10" s="384">
        <v>388</v>
      </c>
      <c r="O10" s="385">
        <v>9450</v>
      </c>
      <c r="P10" s="379"/>
      <c r="Q10" s="455">
        <f>L10+O10</f>
        <v>97419.76</v>
      </c>
    </row>
    <row r="11" ht="24.95" customHeight="1" spans="1:17">
      <c r="A11" s="239">
        <v>44958</v>
      </c>
      <c r="B11" s="176">
        <v>856</v>
      </c>
      <c r="C11" s="313">
        <v>49229.59</v>
      </c>
      <c r="D11" s="134">
        <v>2985</v>
      </c>
      <c r="E11" s="176">
        <v>321</v>
      </c>
      <c r="F11" s="313">
        <v>56202.29</v>
      </c>
      <c r="G11" s="134">
        <v>1780</v>
      </c>
      <c r="H11" s="323">
        <v>108</v>
      </c>
      <c r="I11" s="402">
        <v>20028.8</v>
      </c>
      <c r="J11" s="403">
        <v>9650</v>
      </c>
      <c r="K11" s="404">
        <f>B11+E11++H11</f>
        <v>1285</v>
      </c>
      <c r="L11" s="388">
        <f>C11+D11+F11+G11+I11+J11</f>
        <v>139875.68</v>
      </c>
      <c r="M11" s="379"/>
      <c r="N11" s="389">
        <v>22</v>
      </c>
      <c r="O11" s="390">
        <v>388</v>
      </c>
      <c r="P11" s="379"/>
      <c r="Q11" s="456">
        <f>L11+O11</f>
        <v>140263.68</v>
      </c>
    </row>
    <row r="12" ht="24.95" customHeight="1" spans="1:17">
      <c r="A12" s="324">
        <v>45323</v>
      </c>
      <c r="B12" s="315">
        <v>1626</v>
      </c>
      <c r="C12" s="316">
        <v>104095.95</v>
      </c>
      <c r="D12" s="317">
        <v>4330</v>
      </c>
      <c r="E12" s="315">
        <v>45</v>
      </c>
      <c r="F12" s="316">
        <v>4645.25</v>
      </c>
      <c r="G12" s="317">
        <v>250</v>
      </c>
      <c r="H12" s="325">
        <v>137</v>
      </c>
      <c r="I12" s="328">
        <v>15204.95</v>
      </c>
      <c r="J12" s="405">
        <v>10040</v>
      </c>
      <c r="K12" s="386">
        <f>B12+E12+H12</f>
        <v>1808</v>
      </c>
      <c r="L12" s="387">
        <f>C12+D12+F12+G12+I12+J12</f>
        <v>138566.15</v>
      </c>
      <c r="M12" s="379"/>
      <c r="N12" s="406"/>
      <c r="O12" s="407"/>
      <c r="P12" s="379"/>
      <c r="Q12" s="457">
        <f>L12</f>
        <v>138566.15</v>
      </c>
    </row>
    <row r="13" ht="24.95" customHeight="1" spans="1:17">
      <c r="A13" s="324">
        <v>45689</v>
      </c>
      <c r="B13" s="315">
        <v>1859</v>
      </c>
      <c r="C13" s="316">
        <v>104371.48</v>
      </c>
      <c r="D13" s="317">
        <v>5468</v>
      </c>
      <c r="E13" s="315">
        <v>93</v>
      </c>
      <c r="F13" s="316">
        <v>11525</v>
      </c>
      <c r="G13" s="317">
        <v>700</v>
      </c>
      <c r="H13" s="325">
        <v>83</v>
      </c>
      <c r="I13" s="335">
        <v>4252</v>
      </c>
      <c r="J13" s="408">
        <v>6895</v>
      </c>
      <c r="K13" s="386">
        <f>B13+E13+H13</f>
        <v>2035</v>
      </c>
      <c r="L13" s="387">
        <f>C13+D13+F13+G13+I13+J13</f>
        <v>133211.48</v>
      </c>
      <c r="M13" s="379"/>
      <c r="N13" s="394"/>
      <c r="O13" s="395"/>
      <c r="P13" s="379"/>
      <c r="Q13" s="457">
        <f>L13</f>
        <v>133211.48</v>
      </c>
    </row>
    <row r="14" ht="24.95" customHeight="1" spans="1:17">
      <c r="A14" s="240"/>
      <c r="B14" s="318"/>
      <c r="C14" s="319"/>
      <c r="D14" s="320"/>
      <c r="E14" s="318"/>
      <c r="F14" s="319"/>
      <c r="G14" s="320"/>
      <c r="H14" s="326"/>
      <c r="I14" s="409"/>
      <c r="J14" s="326"/>
      <c r="K14" s="331"/>
      <c r="L14" s="410"/>
      <c r="M14" s="379"/>
      <c r="N14" s="394"/>
      <c r="O14" s="395"/>
      <c r="P14" s="379"/>
      <c r="Q14" s="458"/>
    </row>
    <row r="15" ht="24.95" customHeight="1" spans="1:17">
      <c r="A15" s="215">
        <v>44256</v>
      </c>
      <c r="B15" s="321">
        <v>470</v>
      </c>
      <c r="C15" s="174">
        <v>38923.15</v>
      </c>
      <c r="D15" s="106">
        <v>8079</v>
      </c>
      <c r="E15" s="173">
        <v>0</v>
      </c>
      <c r="F15" s="312">
        <v>0</v>
      </c>
      <c r="G15" s="92">
        <v>0</v>
      </c>
      <c r="H15" s="173">
        <v>40</v>
      </c>
      <c r="I15" s="174">
        <v>14244.44</v>
      </c>
      <c r="J15" s="135">
        <v>11590</v>
      </c>
      <c r="K15" s="398">
        <f>B15+E15+H15</f>
        <v>510</v>
      </c>
      <c r="L15" s="383">
        <f>C15+D15+F15+G15+I15+J15</f>
        <v>72836.59</v>
      </c>
      <c r="M15" s="379"/>
      <c r="N15" s="384">
        <v>253</v>
      </c>
      <c r="O15" s="385">
        <v>5295</v>
      </c>
      <c r="P15" s="379"/>
      <c r="Q15" s="455" t="s">
        <v>39</v>
      </c>
    </row>
    <row r="16" ht="24.95" customHeight="1" spans="1:17">
      <c r="A16" s="221">
        <v>44621</v>
      </c>
      <c r="B16" s="322">
        <v>731</v>
      </c>
      <c r="C16" s="184">
        <v>51217.74</v>
      </c>
      <c r="D16" s="107">
        <v>3981</v>
      </c>
      <c r="E16" s="183">
        <v>191</v>
      </c>
      <c r="F16" s="184">
        <v>18070.97</v>
      </c>
      <c r="G16" s="108">
        <v>705</v>
      </c>
      <c r="H16" s="183">
        <v>157</v>
      </c>
      <c r="I16" s="184">
        <v>24089.3</v>
      </c>
      <c r="J16" s="136">
        <v>11520</v>
      </c>
      <c r="K16" s="401">
        <f>B16+E16+H16</f>
        <v>1079</v>
      </c>
      <c r="L16" s="387">
        <f>C16+D16+F16+G16+I16+J16</f>
        <v>109584.01</v>
      </c>
      <c r="M16" s="379"/>
      <c r="N16" s="384">
        <v>224</v>
      </c>
      <c r="O16" s="385">
        <v>6267</v>
      </c>
      <c r="P16" s="379"/>
      <c r="Q16" s="455">
        <f>L16+O16</f>
        <v>115851.01</v>
      </c>
    </row>
    <row r="17" ht="24.95" customHeight="1" spans="1:17">
      <c r="A17" s="249">
        <v>44986</v>
      </c>
      <c r="B17" s="323">
        <v>830</v>
      </c>
      <c r="C17" s="313">
        <v>45133.58</v>
      </c>
      <c r="D17" s="178">
        <v>3215</v>
      </c>
      <c r="E17" s="176">
        <v>288</v>
      </c>
      <c r="F17" s="313">
        <v>51281.45</v>
      </c>
      <c r="G17" s="134">
        <v>470</v>
      </c>
      <c r="H17" s="176">
        <v>130</v>
      </c>
      <c r="I17" s="313">
        <v>22754.7</v>
      </c>
      <c r="J17" s="178">
        <v>9790</v>
      </c>
      <c r="K17" s="401">
        <f>B17+E17+H17</f>
        <v>1248</v>
      </c>
      <c r="L17" s="387">
        <f>C17+D17+F17+G17+I17+J17</f>
        <v>132644.73</v>
      </c>
      <c r="M17" s="379"/>
      <c r="N17" s="389">
        <v>13</v>
      </c>
      <c r="O17" s="390">
        <v>325</v>
      </c>
      <c r="P17" s="379"/>
      <c r="Q17" s="456">
        <f>L17+O17</f>
        <v>132969.73</v>
      </c>
    </row>
    <row r="18" ht="24.95" customHeight="1" spans="1:17">
      <c r="A18" s="327">
        <v>45352</v>
      </c>
      <c r="B18" s="325">
        <v>1470</v>
      </c>
      <c r="C18" s="316">
        <v>84436.98</v>
      </c>
      <c r="D18" s="316">
        <v>4681</v>
      </c>
      <c r="E18" s="328">
        <v>134</v>
      </c>
      <c r="F18" s="316">
        <v>18540.66</v>
      </c>
      <c r="G18" s="316">
        <v>850</v>
      </c>
      <c r="H18" s="328">
        <v>64</v>
      </c>
      <c r="I18" s="316">
        <v>5959.2</v>
      </c>
      <c r="J18" s="411">
        <v>3970</v>
      </c>
      <c r="K18" s="386">
        <f>B18+E18+H18</f>
        <v>1668</v>
      </c>
      <c r="L18" s="387">
        <f>C18+D18+F18+G18+I18+J18</f>
        <v>118437.84</v>
      </c>
      <c r="M18" s="379"/>
      <c r="N18" s="391"/>
      <c r="O18" s="391"/>
      <c r="P18" s="379"/>
      <c r="Q18" s="457">
        <f>L18</f>
        <v>118437.84</v>
      </c>
    </row>
    <row r="19" ht="24.95" customHeight="1" spans="1:17">
      <c r="A19" s="329">
        <v>45717</v>
      </c>
      <c r="B19" s="328">
        <v>1501</v>
      </c>
      <c r="C19" s="316">
        <v>74280.9</v>
      </c>
      <c r="D19" s="316">
        <v>4045</v>
      </c>
      <c r="E19" s="328">
        <v>3</v>
      </c>
      <c r="F19" s="316">
        <v>207</v>
      </c>
      <c r="G19" s="316">
        <v>0</v>
      </c>
      <c r="H19" s="328">
        <v>89</v>
      </c>
      <c r="I19" s="316">
        <v>1074.8</v>
      </c>
      <c r="J19" s="411">
        <v>7860</v>
      </c>
      <c r="K19" s="386">
        <f>B19+E19+H19</f>
        <v>1593</v>
      </c>
      <c r="L19" s="387">
        <f>C19+D19+F19+G19+I19+J19</f>
        <v>87467.7</v>
      </c>
      <c r="M19" s="379"/>
      <c r="N19" s="394"/>
      <c r="O19" s="395"/>
      <c r="P19" s="379"/>
      <c r="Q19" s="457">
        <f>L19</f>
        <v>87467.7</v>
      </c>
    </row>
    <row r="20" ht="24.95" customHeight="1" spans="1:17">
      <c r="A20" s="240"/>
      <c r="B20" s="330"/>
      <c r="C20" s="330"/>
      <c r="D20" s="330"/>
      <c r="E20" s="331"/>
      <c r="F20" s="330"/>
      <c r="G20" s="332"/>
      <c r="H20" s="331"/>
      <c r="I20" s="330"/>
      <c r="J20" s="337"/>
      <c r="K20" s="318"/>
      <c r="L20" s="412"/>
      <c r="M20" s="379"/>
      <c r="N20" s="394"/>
      <c r="O20" s="395"/>
      <c r="P20" s="379"/>
      <c r="Q20" s="458"/>
    </row>
    <row r="21" ht="24.95" customHeight="1" spans="1:17">
      <c r="A21" s="215">
        <v>44287</v>
      </c>
      <c r="B21" s="321">
        <v>357</v>
      </c>
      <c r="C21" s="174">
        <v>33027.72</v>
      </c>
      <c r="D21" s="106">
        <v>6228</v>
      </c>
      <c r="E21" s="173">
        <v>38</v>
      </c>
      <c r="F21" s="174">
        <v>5411.85</v>
      </c>
      <c r="G21" s="92">
        <v>470</v>
      </c>
      <c r="H21" s="173">
        <v>98</v>
      </c>
      <c r="I21" s="174">
        <v>1302</v>
      </c>
      <c r="J21" s="133">
        <v>7805</v>
      </c>
      <c r="K21" s="413">
        <f>B21+E21+H21</f>
        <v>493</v>
      </c>
      <c r="L21" s="414">
        <f>C21+D21+F21+G21+I21+J21</f>
        <v>54244.57</v>
      </c>
      <c r="M21" s="379"/>
      <c r="N21" s="384">
        <v>779</v>
      </c>
      <c r="O21" s="385">
        <v>17358</v>
      </c>
      <c r="P21" s="379"/>
      <c r="Q21" s="455">
        <f>L21+O21</f>
        <v>71602.57</v>
      </c>
    </row>
    <row r="22" ht="24.95" customHeight="1" spans="1:17">
      <c r="A22" s="221">
        <v>44652</v>
      </c>
      <c r="B22" s="322">
        <v>506</v>
      </c>
      <c r="C22" s="184">
        <v>30532.14</v>
      </c>
      <c r="D22" s="107">
        <v>3385</v>
      </c>
      <c r="E22" s="183">
        <v>95</v>
      </c>
      <c r="F22" s="184">
        <v>7382.47</v>
      </c>
      <c r="G22" s="108">
        <v>850</v>
      </c>
      <c r="H22" s="183">
        <v>136</v>
      </c>
      <c r="I22" s="184">
        <v>13396.07</v>
      </c>
      <c r="J22" s="371">
        <v>10670</v>
      </c>
      <c r="K22" s="415">
        <f>B22+E22+H22</f>
        <v>737</v>
      </c>
      <c r="L22" s="416">
        <f>C22+D22+F22+G22+I22+J22</f>
        <v>66215.68</v>
      </c>
      <c r="M22" s="379"/>
      <c r="N22" s="384">
        <v>111</v>
      </c>
      <c r="O22" s="385">
        <v>1983</v>
      </c>
      <c r="P22" s="379"/>
      <c r="Q22" s="455">
        <f>L22+O22</f>
        <v>68198.68</v>
      </c>
    </row>
    <row r="23" ht="24.95" customHeight="1" spans="1:17">
      <c r="A23" s="249">
        <v>45017</v>
      </c>
      <c r="B23" s="323">
        <v>645</v>
      </c>
      <c r="C23" s="313">
        <v>32952.54</v>
      </c>
      <c r="D23" s="178">
        <v>2130</v>
      </c>
      <c r="E23" s="176">
        <v>252</v>
      </c>
      <c r="F23" s="313">
        <v>24435.32</v>
      </c>
      <c r="G23" s="134">
        <v>910</v>
      </c>
      <c r="H23" s="176">
        <v>18</v>
      </c>
      <c r="I23" s="313">
        <v>232</v>
      </c>
      <c r="J23" s="134">
        <v>2070</v>
      </c>
      <c r="K23" s="417">
        <f>B23+E23+H23</f>
        <v>915</v>
      </c>
      <c r="L23" s="418">
        <f>C23+D23+F23+G23+I23+J23</f>
        <v>62729.86</v>
      </c>
      <c r="M23" s="379"/>
      <c r="N23" s="419" t="s">
        <v>32</v>
      </c>
      <c r="O23" s="420"/>
      <c r="P23" s="379"/>
      <c r="Q23" s="456">
        <f>L23+O23</f>
        <v>62729.86</v>
      </c>
    </row>
    <row r="24" ht="24.95" customHeight="1" spans="1:17">
      <c r="A24" s="327">
        <v>45383</v>
      </c>
      <c r="B24" s="325">
        <v>1151</v>
      </c>
      <c r="C24" s="316">
        <v>72336.47</v>
      </c>
      <c r="D24" s="333">
        <v>3806</v>
      </c>
      <c r="E24" s="328">
        <v>183</v>
      </c>
      <c r="F24" s="316">
        <v>27481.65</v>
      </c>
      <c r="G24" s="316">
        <v>855</v>
      </c>
      <c r="H24" s="328">
        <v>85</v>
      </c>
      <c r="I24" s="316">
        <v>9503.84</v>
      </c>
      <c r="J24" s="316">
        <v>5335</v>
      </c>
      <c r="K24" s="421">
        <f>B24+E24+H24</f>
        <v>1419</v>
      </c>
      <c r="L24" s="422">
        <f>C24+D24+F24+G24+I24+J24</f>
        <v>119317.96</v>
      </c>
      <c r="M24" s="379"/>
      <c r="N24" s="391"/>
      <c r="O24" s="391"/>
      <c r="P24" s="379"/>
      <c r="Q24" s="457">
        <f>L24</f>
        <v>119317.96</v>
      </c>
    </row>
    <row r="25" ht="24.95" customHeight="1" spans="1:17">
      <c r="A25" s="329">
        <v>45748</v>
      </c>
      <c r="B25" s="334">
        <v>2009</v>
      </c>
      <c r="C25" s="335">
        <v>110649.2</v>
      </c>
      <c r="D25" s="336">
        <v>8055</v>
      </c>
      <c r="E25" s="334">
        <v>142</v>
      </c>
      <c r="F25" s="335">
        <v>15552.37</v>
      </c>
      <c r="G25" s="335">
        <v>1778</v>
      </c>
      <c r="H25" s="334">
        <v>129</v>
      </c>
      <c r="I25" s="335">
        <v>1601.2</v>
      </c>
      <c r="J25" s="335">
        <v>12354</v>
      </c>
      <c r="K25" s="421">
        <f>B25+E25+H25</f>
        <v>2280</v>
      </c>
      <c r="L25" s="422">
        <f>C25+D25+F25+G25+I25+J25</f>
        <v>149989.77</v>
      </c>
      <c r="M25" s="379"/>
      <c r="N25" s="394"/>
      <c r="O25" s="395"/>
      <c r="P25" s="379"/>
      <c r="Q25" s="459">
        <f>L25</f>
        <v>149989.77</v>
      </c>
    </row>
    <row r="26" ht="24.95" customHeight="1" spans="1:17">
      <c r="A26" s="240"/>
      <c r="B26" s="337"/>
      <c r="C26" s="330"/>
      <c r="D26" s="338"/>
      <c r="E26" s="331"/>
      <c r="F26" s="330"/>
      <c r="G26" s="332"/>
      <c r="H26" s="331"/>
      <c r="I26" s="330"/>
      <c r="J26" s="332"/>
      <c r="K26" s="330"/>
      <c r="L26" s="423"/>
      <c r="M26" s="379"/>
      <c r="N26" s="394"/>
      <c r="O26" s="395"/>
      <c r="P26" s="379"/>
      <c r="Q26" s="458"/>
    </row>
    <row r="27" ht="24.95" customHeight="1" spans="1:17">
      <c r="A27" s="215">
        <v>44317</v>
      </c>
      <c r="B27" s="321">
        <v>436</v>
      </c>
      <c r="C27" s="174">
        <v>48903.4</v>
      </c>
      <c r="D27" s="106">
        <v>8314</v>
      </c>
      <c r="E27" s="173">
        <v>96</v>
      </c>
      <c r="F27" s="174">
        <v>14285.45</v>
      </c>
      <c r="G27" s="92">
        <v>423</v>
      </c>
      <c r="H27" s="173">
        <v>122</v>
      </c>
      <c r="I27" s="174">
        <v>5421.92</v>
      </c>
      <c r="J27" s="133">
        <v>9150</v>
      </c>
      <c r="K27" s="424">
        <f>B27+E27+H27</f>
        <v>654</v>
      </c>
      <c r="L27" s="414">
        <f>C27+D27+F27+G27+I27+J27</f>
        <v>86497.77</v>
      </c>
      <c r="M27" s="379"/>
      <c r="N27" s="384">
        <v>423</v>
      </c>
      <c r="O27" s="385">
        <v>11640</v>
      </c>
      <c r="P27" s="379"/>
      <c r="Q27" s="455">
        <f>L27+O27</f>
        <v>98137.77</v>
      </c>
    </row>
    <row r="28" ht="24.95" customHeight="1" spans="1:17">
      <c r="A28" s="221">
        <v>44682</v>
      </c>
      <c r="B28" s="322">
        <v>609</v>
      </c>
      <c r="C28" s="184">
        <v>36477.61</v>
      </c>
      <c r="D28" s="107">
        <v>5538</v>
      </c>
      <c r="E28" s="183">
        <v>198</v>
      </c>
      <c r="F28" s="184">
        <v>20652.17</v>
      </c>
      <c r="G28" s="108">
        <v>1080</v>
      </c>
      <c r="H28" s="183">
        <v>157</v>
      </c>
      <c r="I28" s="425">
        <v>13705.5</v>
      </c>
      <c r="J28" s="371">
        <v>11400</v>
      </c>
      <c r="K28" s="415">
        <v>964</v>
      </c>
      <c r="L28" s="416">
        <f>C28+D28+F28+G28+I28+J28</f>
        <v>88853.28</v>
      </c>
      <c r="M28" s="379"/>
      <c r="N28" s="384">
        <v>47</v>
      </c>
      <c r="O28" s="385">
        <v>1109</v>
      </c>
      <c r="P28" s="379"/>
      <c r="Q28" s="455">
        <f>L28+O28</f>
        <v>89962.28</v>
      </c>
    </row>
    <row r="29" ht="24.95" customHeight="1" spans="1:17">
      <c r="A29" s="224" t="s">
        <v>36</v>
      </c>
      <c r="B29" s="323">
        <v>871</v>
      </c>
      <c r="C29" s="313">
        <v>47626.06</v>
      </c>
      <c r="D29" s="178">
        <v>2455</v>
      </c>
      <c r="E29" s="176">
        <v>234</v>
      </c>
      <c r="F29" s="313">
        <v>28489.4</v>
      </c>
      <c r="G29" s="134">
        <v>2785</v>
      </c>
      <c r="H29" s="176">
        <v>185</v>
      </c>
      <c r="I29" s="313">
        <v>29194</v>
      </c>
      <c r="J29" s="134">
        <v>13640</v>
      </c>
      <c r="K29" s="426">
        <f>B29+E29+H29</f>
        <v>1290</v>
      </c>
      <c r="L29" s="418">
        <f>C29+D29+F29+G29+I29+J29</f>
        <v>124189.46</v>
      </c>
      <c r="M29" s="379"/>
      <c r="N29" s="427" t="s">
        <v>32</v>
      </c>
      <c r="O29" s="428"/>
      <c r="P29" s="379"/>
      <c r="Q29" s="460">
        <f>L29</f>
        <v>124189.46</v>
      </c>
    </row>
    <row r="30" ht="24.95" customHeight="1" spans="1:17">
      <c r="A30" s="327">
        <v>45413</v>
      </c>
      <c r="B30" s="325">
        <v>1594</v>
      </c>
      <c r="C30" s="316">
        <v>90188.14</v>
      </c>
      <c r="D30" s="333">
        <v>4325</v>
      </c>
      <c r="E30" s="328">
        <v>180</v>
      </c>
      <c r="F30" s="316">
        <v>18211.25</v>
      </c>
      <c r="G30" s="316">
        <v>700</v>
      </c>
      <c r="H30" s="328">
        <v>176</v>
      </c>
      <c r="I30" s="316">
        <v>22710.8</v>
      </c>
      <c r="J30" s="316">
        <v>10805</v>
      </c>
      <c r="K30" s="421">
        <f>B30+E30+H30</f>
        <v>1950</v>
      </c>
      <c r="L30" s="422">
        <f>C30+D30+F30+G30+I30+J30</f>
        <v>146940.19</v>
      </c>
      <c r="M30" s="379"/>
      <c r="N30" s="406"/>
      <c r="O30" s="407"/>
      <c r="P30" s="379"/>
      <c r="Q30" s="461">
        <f>L30</f>
        <v>146940.19</v>
      </c>
    </row>
    <row r="31" ht="24.95" customHeight="1" spans="1:17">
      <c r="A31" s="329">
        <v>45779</v>
      </c>
      <c r="B31" s="334">
        <v>1787</v>
      </c>
      <c r="C31" s="335">
        <v>102356.89</v>
      </c>
      <c r="D31" s="336">
        <v>7278</v>
      </c>
      <c r="E31" s="334">
        <v>118</v>
      </c>
      <c r="F31" s="335">
        <v>13895.66</v>
      </c>
      <c r="G31" s="335">
        <v>1415</v>
      </c>
      <c r="H31" s="334">
        <v>120</v>
      </c>
      <c r="I31" s="335">
        <v>1757</v>
      </c>
      <c r="J31" s="335">
        <v>14260</v>
      </c>
      <c r="K31" s="421">
        <f>B31+E31+H31</f>
        <v>2025</v>
      </c>
      <c r="L31" s="422">
        <f>C31+D31+F31+G31+I31+J31</f>
        <v>140962.55</v>
      </c>
      <c r="M31" s="379"/>
      <c r="N31" s="394"/>
      <c r="O31" s="395"/>
      <c r="P31" s="379"/>
      <c r="Q31" s="461">
        <f>L31</f>
        <v>140962.55</v>
      </c>
    </row>
    <row r="32" ht="24.95" customHeight="1" spans="1:17">
      <c r="A32" s="240"/>
      <c r="B32" s="331"/>
      <c r="C32" s="330"/>
      <c r="D32" s="338"/>
      <c r="E32" s="331"/>
      <c r="F32" s="330"/>
      <c r="G32" s="332"/>
      <c r="H32" s="331"/>
      <c r="I32" s="330"/>
      <c r="J32" s="332"/>
      <c r="K32" s="330"/>
      <c r="L32" s="330"/>
      <c r="M32" s="379"/>
      <c r="N32" s="394"/>
      <c r="O32" s="395"/>
      <c r="P32" s="379"/>
      <c r="Q32" s="462"/>
    </row>
    <row r="33" ht="24.95" customHeight="1" spans="1:17">
      <c r="A33" s="215">
        <v>44348</v>
      </c>
      <c r="B33" s="173">
        <v>640</v>
      </c>
      <c r="C33" s="339">
        <v>58773.6</v>
      </c>
      <c r="D33" s="92">
        <v>7408</v>
      </c>
      <c r="E33" s="173">
        <v>147</v>
      </c>
      <c r="F33" s="312">
        <v>19324</v>
      </c>
      <c r="G33" s="92">
        <v>882</v>
      </c>
      <c r="H33" s="173">
        <v>145</v>
      </c>
      <c r="I33" s="174">
        <v>13687.68</v>
      </c>
      <c r="J33" s="133">
        <v>10080</v>
      </c>
      <c r="K33" s="424">
        <f>B33+E33+H33</f>
        <v>932</v>
      </c>
      <c r="L33" s="416">
        <f>C33+D33+F33+G33+I33+J33</f>
        <v>110155.28</v>
      </c>
      <c r="M33" s="379"/>
      <c r="N33" s="384">
        <v>398</v>
      </c>
      <c r="O33" s="385">
        <v>12600</v>
      </c>
      <c r="P33" s="379"/>
      <c r="Q33" s="455">
        <f>L33+O33</f>
        <v>122755.28</v>
      </c>
    </row>
    <row r="34" ht="24.95" customHeight="1" spans="1:17">
      <c r="A34" s="249">
        <v>44713</v>
      </c>
      <c r="B34" s="176">
        <v>907</v>
      </c>
      <c r="C34" s="340">
        <v>61877.59</v>
      </c>
      <c r="D34" s="97">
        <v>4780</v>
      </c>
      <c r="E34" s="176">
        <v>131</v>
      </c>
      <c r="F34" s="341">
        <v>14913.36</v>
      </c>
      <c r="G34" s="97">
        <v>120</v>
      </c>
      <c r="H34" s="176">
        <v>126</v>
      </c>
      <c r="I34" s="340">
        <v>19814.4</v>
      </c>
      <c r="J34" s="134">
        <v>8930</v>
      </c>
      <c r="K34" s="426">
        <v>1164</v>
      </c>
      <c r="L34" s="429">
        <f>C34+D34+F34+G34+I34+J34</f>
        <v>110435.35</v>
      </c>
      <c r="M34" s="379"/>
      <c r="N34" s="384">
        <v>182</v>
      </c>
      <c r="O34" s="385">
        <v>3632</v>
      </c>
      <c r="P34" s="379"/>
      <c r="Q34" s="455">
        <f>L34+O34</f>
        <v>114067.35</v>
      </c>
    </row>
    <row r="35" ht="24.95" customHeight="1" spans="1:17">
      <c r="A35" s="249">
        <v>45078</v>
      </c>
      <c r="B35" s="342">
        <v>856</v>
      </c>
      <c r="C35" s="340">
        <v>57714.58</v>
      </c>
      <c r="D35" s="343">
        <v>4042</v>
      </c>
      <c r="E35" s="176">
        <v>195</v>
      </c>
      <c r="F35" s="341">
        <v>24997.87</v>
      </c>
      <c r="G35" s="97">
        <v>1610</v>
      </c>
      <c r="H35" s="176">
        <v>121</v>
      </c>
      <c r="I35" s="341">
        <v>14615.84</v>
      </c>
      <c r="J35" s="134">
        <v>11704</v>
      </c>
      <c r="K35" s="430">
        <v>1172</v>
      </c>
      <c r="L35" s="418">
        <f>C35+D35+F35+G35+I35+J35</f>
        <v>114684.29</v>
      </c>
      <c r="M35" s="379"/>
      <c r="N35" s="389" t="s">
        <v>32</v>
      </c>
      <c r="O35" s="390"/>
      <c r="P35" s="379"/>
      <c r="Q35" s="456">
        <v>114684.24</v>
      </c>
    </row>
    <row r="36" ht="24.95" customHeight="1" spans="1:17">
      <c r="A36" s="344">
        <v>45444</v>
      </c>
      <c r="B36" s="328">
        <v>1638</v>
      </c>
      <c r="C36" s="316">
        <v>95294.87</v>
      </c>
      <c r="D36" s="316">
        <v>4976</v>
      </c>
      <c r="E36" s="328">
        <v>70</v>
      </c>
      <c r="F36" s="316">
        <v>9921.87</v>
      </c>
      <c r="G36" s="316">
        <v>230</v>
      </c>
      <c r="H36" s="328">
        <v>138</v>
      </c>
      <c r="I36" s="316">
        <v>11902.8</v>
      </c>
      <c r="J36" s="316">
        <v>9320</v>
      </c>
      <c r="K36" s="421">
        <f>B36+E36+H36</f>
        <v>1846</v>
      </c>
      <c r="L36" s="431">
        <f>C36+D36+F36+G36+I36+J36</f>
        <v>131645.54</v>
      </c>
      <c r="M36" s="379"/>
      <c r="N36" s="391"/>
      <c r="O36" s="391"/>
      <c r="P36" s="379"/>
      <c r="Q36" s="457">
        <f>L36</f>
        <v>131645.54</v>
      </c>
    </row>
    <row r="37" ht="24.95" customHeight="1" spans="1:17">
      <c r="A37" s="345"/>
      <c r="B37" s="331"/>
      <c r="C37" s="330"/>
      <c r="D37" s="330"/>
      <c r="E37" s="331"/>
      <c r="F37" s="330"/>
      <c r="G37" s="332"/>
      <c r="H37" s="331"/>
      <c r="I37" s="330"/>
      <c r="J37" s="332"/>
      <c r="K37" s="330"/>
      <c r="L37" s="330"/>
      <c r="M37" s="379"/>
      <c r="N37" s="394"/>
      <c r="O37" s="395"/>
      <c r="P37" s="379"/>
      <c r="Q37" s="458"/>
    </row>
    <row r="38" ht="24.95" customHeight="1" spans="1:17">
      <c r="A38" s="215">
        <v>44378</v>
      </c>
      <c r="B38" s="321">
        <v>642</v>
      </c>
      <c r="C38" s="174">
        <v>50421.97</v>
      </c>
      <c r="D38" s="346">
        <v>6278.5</v>
      </c>
      <c r="E38" s="173">
        <v>154</v>
      </c>
      <c r="F38" s="174">
        <v>19072.75</v>
      </c>
      <c r="G38" s="92">
        <v>980</v>
      </c>
      <c r="H38" s="173">
        <v>113</v>
      </c>
      <c r="I38" s="174">
        <v>4105.68</v>
      </c>
      <c r="J38" s="133">
        <v>10075</v>
      </c>
      <c r="K38" s="424">
        <f>B38+E38+H38</f>
        <v>909</v>
      </c>
      <c r="L38" s="414">
        <f>C38+D38+F38+G38+I38+J38</f>
        <v>90933.9</v>
      </c>
      <c r="M38" s="379"/>
      <c r="N38" s="384">
        <v>479</v>
      </c>
      <c r="O38" s="385">
        <v>14575</v>
      </c>
      <c r="P38" s="379"/>
      <c r="Q38" s="455">
        <f>L38+O38</f>
        <v>105508.9</v>
      </c>
    </row>
    <row r="39" ht="24.95" customHeight="1" spans="1:17">
      <c r="A39" s="221">
        <v>44743</v>
      </c>
      <c r="B39" s="322">
        <v>862</v>
      </c>
      <c r="C39" s="184">
        <v>57563.52</v>
      </c>
      <c r="D39" s="108">
        <v>4665</v>
      </c>
      <c r="E39" s="183">
        <v>260</v>
      </c>
      <c r="F39" s="184">
        <v>28320.87</v>
      </c>
      <c r="G39" s="108">
        <v>1380</v>
      </c>
      <c r="H39" s="183">
        <v>95</v>
      </c>
      <c r="I39" s="184">
        <v>7009.2</v>
      </c>
      <c r="J39" s="371">
        <v>8260</v>
      </c>
      <c r="K39" s="415">
        <v>1212</v>
      </c>
      <c r="L39" s="416">
        <f>C39+D39+F39+G39+I39+J39</f>
        <v>107198.59</v>
      </c>
      <c r="M39" s="379"/>
      <c r="N39" s="384">
        <v>182</v>
      </c>
      <c r="O39" s="385">
        <v>3696</v>
      </c>
      <c r="P39" s="379"/>
      <c r="Q39" s="455">
        <f>L39+O39</f>
        <v>110894.59</v>
      </c>
    </row>
    <row r="40" ht="24.95" customHeight="1" spans="1:17">
      <c r="A40" s="249">
        <v>45108</v>
      </c>
      <c r="B40" s="323">
        <v>1210</v>
      </c>
      <c r="C40" s="347">
        <v>85123</v>
      </c>
      <c r="D40" s="97">
        <v>3165</v>
      </c>
      <c r="E40" s="176">
        <v>272</v>
      </c>
      <c r="F40" s="340">
        <v>31859.53</v>
      </c>
      <c r="G40" s="97">
        <v>1100</v>
      </c>
      <c r="H40" s="176">
        <v>136</v>
      </c>
      <c r="I40" s="341">
        <v>18077.6</v>
      </c>
      <c r="J40" s="134">
        <v>11855</v>
      </c>
      <c r="K40" s="430">
        <v>1618</v>
      </c>
      <c r="L40" s="418">
        <f>C40+D40+F40+G40+I40+J40</f>
        <v>151180.13</v>
      </c>
      <c r="M40" s="379"/>
      <c r="N40" s="419" t="s">
        <v>32</v>
      </c>
      <c r="O40" s="420"/>
      <c r="P40" s="379"/>
      <c r="Q40" s="456">
        <v>151179.97</v>
      </c>
    </row>
    <row r="41" ht="24.95" customHeight="1" spans="1:17">
      <c r="A41" s="348">
        <v>45474</v>
      </c>
      <c r="B41" s="325">
        <v>2078</v>
      </c>
      <c r="C41" s="316">
        <v>133943.64</v>
      </c>
      <c r="D41" s="333">
        <v>5351</v>
      </c>
      <c r="E41" s="328">
        <v>201</v>
      </c>
      <c r="F41" s="316">
        <v>20715.2</v>
      </c>
      <c r="G41" s="333">
        <v>3005</v>
      </c>
      <c r="H41" s="328">
        <v>158</v>
      </c>
      <c r="I41" s="316">
        <v>19351.64</v>
      </c>
      <c r="J41" s="316">
        <v>13200</v>
      </c>
      <c r="K41" s="421">
        <f>B41+E41+H41</f>
        <v>2437</v>
      </c>
      <c r="L41" s="422">
        <f>C41+D41+F41+G41+I41+J41</f>
        <v>195566.48</v>
      </c>
      <c r="M41" s="379"/>
      <c r="N41" s="432"/>
      <c r="O41" s="433"/>
      <c r="P41" s="379"/>
      <c r="Q41" s="457">
        <f>L41</f>
        <v>195566.48</v>
      </c>
    </row>
    <row r="42" ht="24.95" customHeight="1" spans="1:17">
      <c r="A42" s="349"/>
      <c r="B42" s="331"/>
      <c r="C42" s="330"/>
      <c r="D42" s="338"/>
      <c r="E42" s="331"/>
      <c r="F42" s="330"/>
      <c r="G42" s="350"/>
      <c r="H42" s="331"/>
      <c r="I42" s="330"/>
      <c r="J42" s="332"/>
      <c r="K42" s="330"/>
      <c r="L42" s="330"/>
      <c r="M42" s="379"/>
      <c r="N42" s="434"/>
      <c r="O42" s="435"/>
      <c r="P42" s="379"/>
      <c r="Q42" s="458"/>
    </row>
    <row r="43" ht="24.95" customHeight="1" spans="1:17">
      <c r="A43" s="351">
        <v>44409</v>
      </c>
      <c r="B43" s="321">
        <v>644</v>
      </c>
      <c r="C43" s="174">
        <v>53485.12</v>
      </c>
      <c r="D43" s="92">
        <v>5166</v>
      </c>
      <c r="E43" s="173">
        <v>232</v>
      </c>
      <c r="F43" s="174">
        <v>30014.63</v>
      </c>
      <c r="G43" s="92">
        <v>663</v>
      </c>
      <c r="H43" s="173">
        <v>155</v>
      </c>
      <c r="I43" s="174">
        <v>14326.96</v>
      </c>
      <c r="J43" s="133">
        <v>10420</v>
      </c>
      <c r="K43" s="398">
        <f>B43+E43+H43</f>
        <v>1031</v>
      </c>
      <c r="L43" s="414">
        <f>C43+D43+F43+G43+I43+J43</f>
        <v>114075.71</v>
      </c>
      <c r="M43" s="379"/>
      <c r="N43" s="436">
        <v>440</v>
      </c>
      <c r="O43" s="437">
        <v>11975</v>
      </c>
      <c r="P43" s="379"/>
      <c r="Q43" s="455">
        <f>L43+O43</f>
        <v>126050.71</v>
      </c>
    </row>
    <row r="44" ht="24.95" customHeight="1" spans="1:17">
      <c r="A44" s="352">
        <v>44774</v>
      </c>
      <c r="B44" s="323">
        <v>1098</v>
      </c>
      <c r="C44" s="340">
        <v>73983.98</v>
      </c>
      <c r="D44" s="97">
        <v>4045</v>
      </c>
      <c r="E44" s="176">
        <v>73</v>
      </c>
      <c r="F44" s="340">
        <v>6216.84</v>
      </c>
      <c r="G44" s="97">
        <v>440</v>
      </c>
      <c r="H44" s="176">
        <v>151</v>
      </c>
      <c r="I44" s="340">
        <v>26371.2</v>
      </c>
      <c r="J44" s="134">
        <v>8610</v>
      </c>
      <c r="K44" s="404">
        <v>1322</v>
      </c>
      <c r="L44" s="438">
        <f>C44+D44+F44+G44+I44+J44</f>
        <v>119667.02</v>
      </c>
      <c r="M44" s="379"/>
      <c r="N44" s="384">
        <v>73</v>
      </c>
      <c r="O44" s="385">
        <v>2068</v>
      </c>
      <c r="P44" s="379"/>
      <c r="Q44" s="455">
        <f>L44+O44</f>
        <v>121735.02</v>
      </c>
    </row>
    <row r="45" ht="24.95" customHeight="1" spans="1:17">
      <c r="A45" s="353">
        <v>45139</v>
      </c>
      <c r="B45" s="323">
        <v>1453</v>
      </c>
      <c r="C45" s="340">
        <v>94959.85</v>
      </c>
      <c r="D45" s="97">
        <v>5090</v>
      </c>
      <c r="E45" s="176">
        <v>79</v>
      </c>
      <c r="F45" s="340">
        <v>8211.2</v>
      </c>
      <c r="G45" s="97">
        <v>945</v>
      </c>
      <c r="H45" s="176">
        <v>101</v>
      </c>
      <c r="I45" s="341">
        <v>17656.72</v>
      </c>
      <c r="J45" s="134">
        <v>7255</v>
      </c>
      <c r="K45" s="404">
        <v>1633</v>
      </c>
      <c r="L45" s="418">
        <v>134117.75</v>
      </c>
      <c r="M45" s="379"/>
      <c r="N45" s="389" t="s">
        <v>32</v>
      </c>
      <c r="O45" s="390"/>
      <c r="P45" s="379"/>
      <c r="Q45" s="456">
        <v>134117.75</v>
      </c>
    </row>
    <row r="46" ht="24.95" customHeight="1" spans="1:17">
      <c r="A46" s="348">
        <v>45505</v>
      </c>
      <c r="B46" s="325">
        <v>2222</v>
      </c>
      <c r="C46" s="316">
        <v>149051.74</v>
      </c>
      <c r="D46" s="316">
        <v>4785</v>
      </c>
      <c r="E46" s="328">
        <v>151</v>
      </c>
      <c r="F46" s="316">
        <v>19978.59</v>
      </c>
      <c r="G46" s="316">
        <v>765</v>
      </c>
      <c r="H46" s="328">
        <v>151</v>
      </c>
      <c r="I46" s="316">
        <v>14920.8</v>
      </c>
      <c r="J46" s="316">
        <v>11935</v>
      </c>
      <c r="K46" s="421">
        <f>B46+E46+H46</f>
        <v>2524</v>
      </c>
      <c r="L46" s="431">
        <f>C46+D46+F46+G46+I46+J46</f>
        <v>201436.13</v>
      </c>
      <c r="M46" s="379"/>
      <c r="N46" s="391"/>
      <c r="O46" s="391"/>
      <c r="P46" s="379"/>
      <c r="Q46" s="457">
        <f>L46</f>
        <v>201436.13</v>
      </c>
    </row>
    <row r="47" ht="24.95" customHeight="1" spans="1:17">
      <c r="A47" s="349"/>
      <c r="B47" s="331"/>
      <c r="C47" s="330"/>
      <c r="D47" s="330"/>
      <c r="E47" s="331"/>
      <c r="F47" s="330"/>
      <c r="G47" s="332"/>
      <c r="H47" s="331"/>
      <c r="I47" s="330"/>
      <c r="J47" s="332"/>
      <c r="K47" s="330"/>
      <c r="L47" s="330"/>
      <c r="M47" s="379"/>
      <c r="N47" s="394"/>
      <c r="O47" s="395"/>
      <c r="P47" s="379"/>
      <c r="Q47" s="458"/>
    </row>
    <row r="48" ht="24.95" customHeight="1" spans="1:17">
      <c r="A48" s="354">
        <v>44440</v>
      </c>
      <c r="B48" s="321">
        <v>676</v>
      </c>
      <c r="C48" s="355">
        <v>55903</v>
      </c>
      <c r="D48" s="92">
        <v>4925</v>
      </c>
      <c r="E48" s="173">
        <v>233</v>
      </c>
      <c r="F48" s="174">
        <v>26214.38</v>
      </c>
      <c r="G48" s="92">
        <v>2672</v>
      </c>
      <c r="H48" s="173">
        <v>143</v>
      </c>
      <c r="I48" s="174">
        <v>19019.04</v>
      </c>
      <c r="J48" s="133">
        <v>10950</v>
      </c>
      <c r="K48" s="398">
        <f>B48+E48+H48</f>
        <v>1052</v>
      </c>
      <c r="L48" s="439">
        <f>SUM(C48+D48+F48+G48+I48+J48)</f>
        <v>119683.42</v>
      </c>
      <c r="M48" s="379"/>
      <c r="N48" s="384">
        <v>474</v>
      </c>
      <c r="O48" s="385">
        <v>10215</v>
      </c>
      <c r="P48" s="379"/>
      <c r="Q48" s="455">
        <f>L48+O48</f>
        <v>129898.42</v>
      </c>
    </row>
    <row r="49" ht="24.95" customHeight="1" spans="1:17">
      <c r="A49" s="356">
        <v>44805</v>
      </c>
      <c r="B49" s="357">
        <v>967</v>
      </c>
      <c r="C49" s="358">
        <v>61765.82</v>
      </c>
      <c r="D49" s="97">
        <v>5590</v>
      </c>
      <c r="E49" s="359">
        <v>244</v>
      </c>
      <c r="F49" s="340">
        <v>20948.91</v>
      </c>
      <c r="G49" s="99">
        <v>1820</v>
      </c>
      <c r="H49" s="176">
        <v>107</v>
      </c>
      <c r="I49" s="177">
        <v>24774.1</v>
      </c>
      <c r="J49" s="134">
        <v>8090</v>
      </c>
      <c r="K49" s="440">
        <v>1318</v>
      </c>
      <c r="L49" s="418">
        <f>SUM(C49+D49+F49+G49+I49+J49)</f>
        <v>122988.83</v>
      </c>
      <c r="M49" s="379"/>
      <c r="N49" s="384">
        <v>64</v>
      </c>
      <c r="O49" s="385">
        <v>1621</v>
      </c>
      <c r="P49" s="379"/>
      <c r="Q49" s="455">
        <f>L49+O49</f>
        <v>124609.83</v>
      </c>
    </row>
    <row r="50" ht="24.95" customHeight="1" spans="1:17">
      <c r="A50" s="360">
        <v>45170</v>
      </c>
      <c r="B50" s="323">
        <v>1368</v>
      </c>
      <c r="C50" s="347">
        <v>89969</v>
      </c>
      <c r="D50" s="97">
        <v>11031</v>
      </c>
      <c r="E50" s="176">
        <v>165</v>
      </c>
      <c r="F50" s="340">
        <v>16721.21</v>
      </c>
      <c r="G50" s="97">
        <v>1695</v>
      </c>
      <c r="H50" s="176">
        <v>143</v>
      </c>
      <c r="I50" s="340">
        <v>17301.12</v>
      </c>
      <c r="J50" s="134">
        <v>12200</v>
      </c>
      <c r="K50" s="404">
        <v>1676</v>
      </c>
      <c r="L50" s="418">
        <v>148917.33</v>
      </c>
      <c r="M50" s="379"/>
      <c r="N50" s="389" t="s">
        <v>32</v>
      </c>
      <c r="O50" s="390"/>
      <c r="P50" s="379"/>
      <c r="Q50" s="456">
        <v>148917.33</v>
      </c>
    </row>
    <row r="51" ht="24.95" customHeight="1" spans="1:17">
      <c r="A51" s="361">
        <v>45536</v>
      </c>
      <c r="B51" s="322">
        <v>2079</v>
      </c>
      <c r="C51" s="362">
        <v>130116.39</v>
      </c>
      <c r="D51" s="362">
        <v>5532</v>
      </c>
      <c r="E51" s="363">
        <v>60</v>
      </c>
      <c r="F51" s="362">
        <v>8205.57</v>
      </c>
      <c r="G51" s="362">
        <v>300</v>
      </c>
      <c r="H51" s="363">
        <v>114</v>
      </c>
      <c r="I51" s="362">
        <v>15330.78</v>
      </c>
      <c r="J51" s="362">
        <v>10645</v>
      </c>
      <c r="K51" s="441">
        <f>B51+E51+H51</f>
        <v>2253</v>
      </c>
      <c r="L51" s="442">
        <f>C51+D51+F51+G51+I51+J51</f>
        <v>170129.74</v>
      </c>
      <c r="M51" s="379"/>
      <c r="N51" s="391"/>
      <c r="O51" s="391"/>
      <c r="P51" s="379"/>
      <c r="Q51" s="463">
        <f>L51</f>
        <v>170129.74</v>
      </c>
    </row>
    <row r="52" ht="24.95" customHeight="1" spans="1:17">
      <c r="A52" s="364"/>
      <c r="B52" s="365"/>
      <c r="C52" s="366"/>
      <c r="D52" s="366"/>
      <c r="E52" s="365"/>
      <c r="F52" s="366"/>
      <c r="G52" s="367"/>
      <c r="H52" s="365"/>
      <c r="I52" s="366"/>
      <c r="J52" s="366"/>
      <c r="K52" s="366"/>
      <c r="L52" s="366"/>
      <c r="M52" s="379"/>
      <c r="N52" s="394"/>
      <c r="O52" s="395"/>
      <c r="P52" s="379"/>
      <c r="Q52" s="464"/>
    </row>
    <row r="53" ht="24.95" customHeight="1" spans="1:17">
      <c r="A53" s="354">
        <v>44470</v>
      </c>
      <c r="B53" s="321">
        <v>715</v>
      </c>
      <c r="C53" s="174">
        <v>58388.11</v>
      </c>
      <c r="D53" s="106">
        <v>5121</v>
      </c>
      <c r="E53" s="173">
        <v>229</v>
      </c>
      <c r="F53" s="174">
        <v>26280.45</v>
      </c>
      <c r="G53" s="92">
        <v>1077</v>
      </c>
      <c r="H53" s="173">
        <v>155</v>
      </c>
      <c r="I53" s="174">
        <v>30595.92</v>
      </c>
      <c r="J53" s="135">
        <v>12050</v>
      </c>
      <c r="K53" s="398">
        <f>B53+E53+H53</f>
        <v>1099</v>
      </c>
      <c r="L53" s="414">
        <f>C53+D53+F53+G53+I53+J53</f>
        <v>133512.48</v>
      </c>
      <c r="M53" s="379"/>
      <c r="N53" s="384">
        <v>502</v>
      </c>
      <c r="O53" s="385">
        <v>11585</v>
      </c>
      <c r="P53" s="379"/>
      <c r="Q53" s="457">
        <f t="shared" ref="Q53:Q54" si="1">L53+O53</f>
        <v>145097.48</v>
      </c>
    </row>
    <row r="54" ht="24.95" customHeight="1" spans="1:17">
      <c r="A54" s="361">
        <v>44835</v>
      </c>
      <c r="B54" s="322">
        <v>1022</v>
      </c>
      <c r="C54" s="184">
        <v>57637.97</v>
      </c>
      <c r="D54" s="107">
        <v>4465</v>
      </c>
      <c r="E54" s="183">
        <v>271</v>
      </c>
      <c r="F54" s="362">
        <v>24286.7</v>
      </c>
      <c r="G54" s="108">
        <v>270</v>
      </c>
      <c r="H54" s="183">
        <v>132</v>
      </c>
      <c r="I54" s="184">
        <v>38602.2</v>
      </c>
      <c r="J54" s="136">
        <v>8610</v>
      </c>
      <c r="K54" s="401">
        <v>1425</v>
      </c>
      <c r="L54" s="443">
        <f>C54+D54+F54+G54+I54+J54</f>
        <v>133871.87</v>
      </c>
      <c r="M54" s="379"/>
      <c r="N54" s="444">
        <v>30</v>
      </c>
      <c r="O54" s="445">
        <v>1111</v>
      </c>
      <c r="P54" s="379"/>
      <c r="Q54" s="455">
        <f t="shared" si="1"/>
        <v>134982.87</v>
      </c>
    </row>
    <row r="55" ht="24.95" customHeight="1" spans="1:17">
      <c r="A55" s="360">
        <v>45200</v>
      </c>
      <c r="B55" s="323">
        <v>1389</v>
      </c>
      <c r="C55" s="340">
        <v>67809.91</v>
      </c>
      <c r="D55" s="368">
        <v>15511</v>
      </c>
      <c r="E55" s="176">
        <v>204</v>
      </c>
      <c r="F55" s="313">
        <v>21843.68</v>
      </c>
      <c r="G55" s="97">
        <v>1125</v>
      </c>
      <c r="H55" s="176">
        <v>142</v>
      </c>
      <c r="I55" s="340">
        <v>20292.08</v>
      </c>
      <c r="J55" s="178">
        <v>11095</v>
      </c>
      <c r="K55" s="404">
        <v>1735</v>
      </c>
      <c r="L55" s="446">
        <v>137676.67</v>
      </c>
      <c r="M55" s="379"/>
      <c r="N55" s="419" t="s">
        <v>32</v>
      </c>
      <c r="O55" s="420"/>
      <c r="P55" s="379"/>
      <c r="Q55" s="465">
        <v>137676.67</v>
      </c>
    </row>
    <row r="56" ht="24.95" customHeight="1" spans="1:17">
      <c r="A56" s="327">
        <v>45566</v>
      </c>
      <c r="B56" s="322">
        <v>2117</v>
      </c>
      <c r="C56" s="316">
        <v>123853.7</v>
      </c>
      <c r="D56" s="369">
        <v>5818</v>
      </c>
      <c r="E56" s="363">
        <v>198</v>
      </c>
      <c r="F56" s="316">
        <v>25229.15</v>
      </c>
      <c r="G56" s="369">
        <v>1230</v>
      </c>
      <c r="H56" s="363">
        <v>122</v>
      </c>
      <c r="I56" s="316">
        <v>14087.6</v>
      </c>
      <c r="J56" s="136">
        <v>10395</v>
      </c>
      <c r="K56" s="441">
        <f>B56+E56+H56</f>
        <v>2437</v>
      </c>
      <c r="L56" s="422">
        <f>C56+D56+F56+G56+I56+J56</f>
        <v>180613.45</v>
      </c>
      <c r="M56" s="379"/>
      <c r="N56" s="447"/>
      <c r="O56" s="448"/>
      <c r="P56" s="379"/>
      <c r="Q56" s="466">
        <f>L56</f>
        <v>180613.45</v>
      </c>
    </row>
    <row r="57" ht="24.95" customHeight="1" spans="1:17">
      <c r="A57" s="186"/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379"/>
      <c r="N57" s="330"/>
      <c r="O57" s="330"/>
      <c r="P57" s="379"/>
      <c r="Q57" s="467"/>
    </row>
    <row r="58" ht="24.95" customHeight="1" spans="1:17">
      <c r="A58" s="354">
        <v>44501</v>
      </c>
      <c r="B58" s="321">
        <v>586</v>
      </c>
      <c r="C58" s="174">
        <v>57315.33</v>
      </c>
      <c r="D58" s="106">
        <v>13418</v>
      </c>
      <c r="E58" s="173">
        <v>213</v>
      </c>
      <c r="F58" s="174">
        <v>23131</v>
      </c>
      <c r="G58" s="92">
        <v>947</v>
      </c>
      <c r="H58" s="173">
        <v>184</v>
      </c>
      <c r="I58" s="174">
        <v>48860.16</v>
      </c>
      <c r="J58" s="133">
        <v>8850</v>
      </c>
      <c r="K58" s="398">
        <v>983</v>
      </c>
      <c r="L58" s="414">
        <f>C58+D58+F58+G58+I58+J58</f>
        <v>152521.49</v>
      </c>
      <c r="M58" s="379"/>
      <c r="N58" s="436">
        <v>193</v>
      </c>
      <c r="O58" s="437">
        <v>4530</v>
      </c>
      <c r="P58" s="379"/>
      <c r="Q58" s="457">
        <f t="shared" ref="Q58:Q59" si="2">L58+O58</f>
        <v>157051.49</v>
      </c>
    </row>
    <row r="59" ht="24.95" customHeight="1" spans="1:17">
      <c r="A59" s="370">
        <v>44866</v>
      </c>
      <c r="B59" s="322">
        <v>1008</v>
      </c>
      <c r="C59" s="362">
        <v>53506.4</v>
      </c>
      <c r="D59" s="136">
        <v>4340</v>
      </c>
      <c r="E59" s="183">
        <v>201</v>
      </c>
      <c r="F59" s="362">
        <v>14770.11</v>
      </c>
      <c r="G59" s="371">
        <v>525</v>
      </c>
      <c r="H59" s="183">
        <v>131</v>
      </c>
      <c r="I59" s="362">
        <v>40143.2</v>
      </c>
      <c r="J59" s="371">
        <v>7415</v>
      </c>
      <c r="K59" s="401">
        <v>1340</v>
      </c>
      <c r="L59" s="416">
        <f>C59+D59+F59+G59+I59+J59</f>
        <v>120699.71</v>
      </c>
      <c r="M59" s="379"/>
      <c r="N59" s="427">
        <v>107</v>
      </c>
      <c r="O59" s="428">
        <v>3168</v>
      </c>
      <c r="P59" s="379"/>
      <c r="Q59" s="455">
        <f t="shared" si="2"/>
        <v>123867.71</v>
      </c>
    </row>
    <row r="60" ht="24.95" customHeight="1" spans="1:17">
      <c r="A60" s="360">
        <v>45231</v>
      </c>
      <c r="B60" s="323">
        <v>1240</v>
      </c>
      <c r="C60" s="313">
        <v>71953.89</v>
      </c>
      <c r="D60" s="178">
        <v>11929</v>
      </c>
      <c r="E60" s="176">
        <v>187</v>
      </c>
      <c r="F60" s="313">
        <v>20583.36</v>
      </c>
      <c r="G60" s="134">
        <v>1045</v>
      </c>
      <c r="H60" s="176">
        <v>129</v>
      </c>
      <c r="I60" s="313">
        <v>30452.95</v>
      </c>
      <c r="J60" s="134">
        <v>8615</v>
      </c>
      <c r="K60" s="404">
        <v>1556</v>
      </c>
      <c r="L60" s="431">
        <f>C60+D60+F60+G60+I60+J60</f>
        <v>144579.2</v>
      </c>
      <c r="M60" s="379"/>
      <c r="N60" s="419" t="s">
        <v>32</v>
      </c>
      <c r="O60" s="420"/>
      <c r="P60" s="379"/>
      <c r="Q60" s="468">
        <v>144579.2</v>
      </c>
    </row>
    <row r="61" ht="24.95" customHeight="1" spans="1:17">
      <c r="A61" s="327">
        <v>45597</v>
      </c>
      <c r="B61" s="322">
        <v>1894</v>
      </c>
      <c r="C61" s="316">
        <v>112039.04</v>
      </c>
      <c r="D61" s="316">
        <v>6090</v>
      </c>
      <c r="E61" s="363">
        <v>73</v>
      </c>
      <c r="F61" s="316">
        <v>7442.21</v>
      </c>
      <c r="G61" s="316">
        <v>575</v>
      </c>
      <c r="H61" s="363">
        <v>167</v>
      </c>
      <c r="I61" s="316">
        <v>21770.64</v>
      </c>
      <c r="J61" s="362">
        <v>9595</v>
      </c>
      <c r="K61" s="404">
        <f>B61+E61+H61</f>
        <v>2134</v>
      </c>
      <c r="L61" s="431">
        <f>C61+D61+F61+G61+I61+J61</f>
        <v>157511.89</v>
      </c>
      <c r="M61" s="379"/>
      <c r="N61" s="447"/>
      <c r="O61" s="448"/>
      <c r="P61" s="379"/>
      <c r="Q61" s="469">
        <f>L61</f>
        <v>157511.89</v>
      </c>
    </row>
    <row r="62" ht="24.95" customHeight="1" spans="2:17">
      <c r="B62" s="330"/>
      <c r="C62" s="330"/>
      <c r="D62" s="330"/>
      <c r="E62" s="330"/>
      <c r="F62" s="330"/>
      <c r="G62" s="330"/>
      <c r="H62" s="330"/>
      <c r="I62" s="330"/>
      <c r="J62" s="330"/>
      <c r="K62" s="330"/>
      <c r="L62" s="330"/>
      <c r="M62" s="379"/>
      <c r="N62" s="330"/>
      <c r="O62" s="330"/>
      <c r="P62" s="379"/>
      <c r="Q62" s="470"/>
    </row>
    <row r="63" ht="24.95" customHeight="1" spans="1:17">
      <c r="A63" s="354">
        <v>44531</v>
      </c>
      <c r="B63" s="321">
        <v>556</v>
      </c>
      <c r="C63" s="174">
        <v>36914.64</v>
      </c>
      <c r="D63" s="133">
        <v>3377</v>
      </c>
      <c r="E63" s="173">
        <v>255</v>
      </c>
      <c r="F63" s="174">
        <v>28784.24</v>
      </c>
      <c r="G63" s="92">
        <v>2030</v>
      </c>
      <c r="H63" s="173">
        <v>96</v>
      </c>
      <c r="I63" s="174">
        <v>43269.84</v>
      </c>
      <c r="J63" s="133">
        <v>3790</v>
      </c>
      <c r="K63" s="398">
        <v>907</v>
      </c>
      <c r="L63" s="449">
        <v>118165.72</v>
      </c>
      <c r="M63" s="379"/>
      <c r="N63" s="450">
        <v>513</v>
      </c>
      <c r="O63" s="451">
        <v>15230</v>
      </c>
      <c r="P63" s="379"/>
      <c r="Q63" s="471">
        <v>133395.72</v>
      </c>
    </row>
    <row r="64" ht="24.95" customHeight="1" spans="1:17">
      <c r="A64" s="370">
        <v>44896</v>
      </c>
      <c r="B64" s="322">
        <v>911</v>
      </c>
      <c r="C64" s="362">
        <v>47840.15</v>
      </c>
      <c r="D64" s="371">
        <v>3700</v>
      </c>
      <c r="E64" s="183">
        <v>410</v>
      </c>
      <c r="F64" s="362">
        <v>31224.86</v>
      </c>
      <c r="G64" s="371">
        <v>2664</v>
      </c>
      <c r="H64" s="183">
        <v>151</v>
      </c>
      <c r="I64" s="362">
        <v>61011.8</v>
      </c>
      <c r="J64" s="371">
        <v>7530</v>
      </c>
      <c r="K64" s="401">
        <v>1472</v>
      </c>
      <c r="L64" s="443">
        <v>153970.81</v>
      </c>
      <c r="M64" s="379"/>
      <c r="N64" s="452">
        <v>41</v>
      </c>
      <c r="O64" s="445">
        <v>1085</v>
      </c>
      <c r="P64" s="379"/>
      <c r="Q64" s="472">
        <v>155055.81</v>
      </c>
    </row>
    <row r="65" ht="24.95" customHeight="1" spans="1:17">
      <c r="A65" s="360">
        <v>45261</v>
      </c>
      <c r="B65" s="323">
        <v>1252</v>
      </c>
      <c r="C65" s="473">
        <v>76953.85</v>
      </c>
      <c r="D65" s="134">
        <v>9584</v>
      </c>
      <c r="E65" s="176">
        <v>195</v>
      </c>
      <c r="F65" s="473">
        <v>23022.46</v>
      </c>
      <c r="G65" s="134">
        <v>1153</v>
      </c>
      <c r="H65" s="176">
        <v>145</v>
      </c>
      <c r="I65" s="473">
        <v>26337.62</v>
      </c>
      <c r="J65" s="134">
        <v>10205</v>
      </c>
      <c r="K65" s="404">
        <v>1594</v>
      </c>
      <c r="L65" s="446">
        <v>147255.93</v>
      </c>
      <c r="M65" s="379"/>
      <c r="N65" s="477" t="s">
        <v>32</v>
      </c>
      <c r="O65" s="420"/>
      <c r="P65" s="379"/>
      <c r="Q65" s="465">
        <v>147255.93</v>
      </c>
    </row>
    <row r="66" ht="24.95" customHeight="1" spans="1:17">
      <c r="A66" s="361">
        <v>45627</v>
      </c>
      <c r="B66" s="474">
        <v>2072</v>
      </c>
      <c r="C66" s="475">
        <v>114009.58</v>
      </c>
      <c r="D66" s="475">
        <v>5751</v>
      </c>
      <c r="E66" s="476">
        <v>92</v>
      </c>
      <c r="F66" s="475">
        <v>14327.9</v>
      </c>
      <c r="G66" s="475">
        <v>786</v>
      </c>
      <c r="H66" s="476">
        <v>153</v>
      </c>
      <c r="I66" s="475">
        <v>39395</v>
      </c>
      <c r="J66" s="475">
        <v>6760</v>
      </c>
      <c r="K66" s="476">
        <f>B66+E66+H66</f>
        <v>2317</v>
      </c>
      <c r="L66" s="431">
        <f>C66+D66+F66+G66+I66+J66</f>
        <v>181029.48</v>
      </c>
      <c r="M66" s="379"/>
      <c r="N66" s="478"/>
      <c r="O66" s="479"/>
      <c r="P66" s="379"/>
      <c r="Q66" s="431">
        <f>L66</f>
        <v>181029.48</v>
      </c>
    </row>
    <row r="67" ht="24.95" customHeight="1"/>
    <row r="68" ht="24.95" customHeight="1"/>
    <row r="69" ht="24.95" customHeight="1"/>
    <row r="70" ht="24.95" customHeight="1"/>
    <row r="71" ht="24.95" customHeight="1"/>
    <row r="72" ht="24.95" customHeight="1"/>
    <row r="73" ht="24.95" customHeight="1"/>
    <row r="74" ht="24.95" customHeight="1"/>
  </sheetData>
  <mergeCells count="27">
    <mergeCell ref="B1:D1"/>
    <mergeCell ref="E1:G1"/>
    <mergeCell ref="H1:J1"/>
    <mergeCell ref="K1:L1"/>
    <mergeCell ref="N6:O6"/>
    <mergeCell ref="N12:O12"/>
    <mergeCell ref="N18:O18"/>
    <mergeCell ref="N23:O23"/>
    <mergeCell ref="N24:O24"/>
    <mergeCell ref="N29:O29"/>
    <mergeCell ref="N30:O30"/>
    <mergeCell ref="N35:O35"/>
    <mergeCell ref="N36:O36"/>
    <mergeCell ref="N40:O40"/>
    <mergeCell ref="N41:O41"/>
    <mergeCell ref="N45:O45"/>
    <mergeCell ref="N46:O46"/>
    <mergeCell ref="N50:O50"/>
    <mergeCell ref="N51:O51"/>
    <mergeCell ref="N55:O55"/>
    <mergeCell ref="N56:O56"/>
    <mergeCell ref="N60:O60"/>
    <mergeCell ref="N61:O61"/>
    <mergeCell ref="N65:O65"/>
    <mergeCell ref="N66:O66"/>
    <mergeCell ref="M1:M66"/>
    <mergeCell ref="P1:P66"/>
  </mergeCells>
  <pageMargins left="0.7" right="0.7" top="0.75" bottom="0.75" header="0.3" footer="0.3"/>
  <pageSetup paperSize="9" scale="50" fitToHeight="0" orientation="landscape"/>
  <headerFooter/>
  <rowBreaks count="1" manualBreakCount="1">
    <brk id="36" max="1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2"/>
  <sheetViews>
    <sheetView workbookViewId="0">
      <selection activeCell="B17" sqref="B17"/>
    </sheetView>
  </sheetViews>
  <sheetFormatPr defaultColWidth="9" defaultRowHeight="18" outlineLevelCol="7"/>
  <cols>
    <col min="1" max="1" width="30" customWidth="1"/>
    <col min="2" max="2" width="26.2857142857143" customWidth="1"/>
    <col min="3" max="3" width="28.7142857142857" customWidth="1"/>
    <col min="4" max="4" width="9.14285714285714" style="200"/>
    <col min="5" max="5" width="24.8571428571429" customWidth="1"/>
    <col min="6" max="6" width="24.1428571428571" customWidth="1"/>
    <col min="7" max="7" width="9.14285714285714" style="201"/>
    <col min="8" max="8" width="34" customWidth="1"/>
  </cols>
  <sheetData>
    <row r="1" ht="42.75" customHeight="1" spans="1:8">
      <c r="A1" s="202" t="s">
        <v>0</v>
      </c>
      <c r="B1" s="203" t="s">
        <v>40</v>
      </c>
      <c r="C1" s="204"/>
      <c r="E1" s="205" t="s">
        <v>5</v>
      </c>
      <c r="F1" s="206" t="s">
        <v>6</v>
      </c>
      <c r="H1" s="207" t="s">
        <v>7</v>
      </c>
    </row>
    <row r="2" ht="37.5" customHeight="1" spans="1:8">
      <c r="A2" s="202"/>
      <c r="B2" s="208" t="s">
        <v>8</v>
      </c>
      <c r="C2" s="209" t="s">
        <v>41</v>
      </c>
      <c r="D2" s="210"/>
      <c r="E2" s="211"/>
      <c r="F2" s="212"/>
      <c r="G2" s="213"/>
      <c r="H2" s="214"/>
    </row>
    <row r="3" ht="30" customHeight="1" spans="1:8">
      <c r="A3" s="215">
        <v>44197</v>
      </c>
      <c r="B3" s="216">
        <v>581</v>
      </c>
      <c r="C3" s="217">
        <v>79294.98</v>
      </c>
      <c r="D3" s="210"/>
      <c r="E3" s="218">
        <v>21</v>
      </c>
      <c r="F3" s="219">
        <v>647</v>
      </c>
      <c r="G3" s="213"/>
      <c r="H3" s="220">
        <f>C3+F3</f>
        <v>79941.98</v>
      </c>
    </row>
    <row r="4" ht="30" customHeight="1" spans="1:8">
      <c r="A4" s="221">
        <v>44562</v>
      </c>
      <c r="B4" s="222">
        <v>865</v>
      </c>
      <c r="C4" s="223">
        <v>81320.9</v>
      </c>
      <c r="D4" s="210"/>
      <c r="E4" s="218">
        <v>736</v>
      </c>
      <c r="F4" s="219">
        <v>17795</v>
      </c>
      <c r="G4" s="213"/>
      <c r="H4" s="220">
        <f t="shared" ref="H4:H42" si="0">C4+F4</f>
        <v>99115.9</v>
      </c>
    </row>
    <row r="5" ht="30" customHeight="1" spans="1:8">
      <c r="A5" s="224" t="s">
        <v>35</v>
      </c>
      <c r="B5" s="225">
        <v>1368</v>
      </c>
      <c r="C5" s="126">
        <v>138678.23</v>
      </c>
      <c r="D5" s="210"/>
      <c r="E5" s="226">
        <v>66</v>
      </c>
      <c r="F5" s="227">
        <v>1625</v>
      </c>
      <c r="G5" s="213"/>
      <c r="H5" s="220">
        <f t="shared" si="0"/>
        <v>140303.23</v>
      </c>
    </row>
    <row r="6" ht="30" customHeight="1" spans="1:8">
      <c r="A6" s="228" t="s">
        <v>37</v>
      </c>
      <c r="B6" s="229"/>
      <c r="C6" s="230"/>
      <c r="D6" s="210"/>
      <c r="E6" s="231"/>
      <c r="F6" s="232"/>
      <c r="G6" s="213"/>
      <c r="H6" s="233"/>
    </row>
    <row r="7" ht="30" customHeight="1" spans="1:8">
      <c r="A7" s="234"/>
      <c r="B7" s="229"/>
      <c r="C7" s="230"/>
      <c r="D7" s="210"/>
      <c r="E7" s="235"/>
      <c r="F7" s="236"/>
      <c r="G7" s="213"/>
      <c r="H7" s="233"/>
    </row>
    <row r="8" ht="30" customHeight="1" spans="1:8">
      <c r="A8" s="237">
        <v>44228</v>
      </c>
      <c r="B8" s="188">
        <v>611</v>
      </c>
      <c r="C8" s="217">
        <v>106340.5</v>
      </c>
      <c r="D8" s="210"/>
      <c r="E8" s="218">
        <v>87</v>
      </c>
      <c r="F8" s="219">
        <v>2031</v>
      </c>
      <c r="G8" s="213"/>
      <c r="H8" s="220">
        <f t="shared" si="0"/>
        <v>108371.5</v>
      </c>
    </row>
    <row r="9" ht="30" customHeight="1" spans="1:8">
      <c r="A9" s="238">
        <v>44593</v>
      </c>
      <c r="B9" s="191">
        <v>883</v>
      </c>
      <c r="C9" s="223">
        <v>87969.76</v>
      </c>
      <c r="D9" s="210"/>
      <c r="E9" s="218">
        <v>388</v>
      </c>
      <c r="F9" s="219">
        <v>9450</v>
      </c>
      <c r="G9" s="213"/>
      <c r="H9" s="220">
        <f t="shared" si="0"/>
        <v>97419.76</v>
      </c>
    </row>
    <row r="10" ht="30" customHeight="1" spans="1:8">
      <c r="A10" s="239">
        <v>44958</v>
      </c>
      <c r="B10" s="193">
        <v>1714</v>
      </c>
      <c r="C10" s="126">
        <v>139875.68</v>
      </c>
      <c r="D10" s="210"/>
      <c r="E10" s="226">
        <v>22</v>
      </c>
      <c r="F10" s="227">
        <v>388</v>
      </c>
      <c r="G10" s="213"/>
      <c r="H10" s="220">
        <f t="shared" si="0"/>
        <v>140263.68</v>
      </c>
    </row>
    <row r="11" ht="30" customHeight="1" spans="1:8">
      <c r="A11" s="240"/>
      <c r="B11" s="240"/>
      <c r="C11" s="230"/>
      <c r="D11" s="210"/>
      <c r="E11" s="241"/>
      <c r="F11" s="242"/>
      <c r="G11" s="213"/>
      <c r="H11" s="233"/>
    </row>
    <row r="12" ht="30" customHeight="1" spans="1:8">
      <c r="A12" s="237">
        <v>44256</v>
      </c>
      <c r="B12" s="188">
        <v>510</v>
      </c>
      <c r="C12" s="217">
        <v>72836.59</v>
      </c>
      <c r="D12" s="210"/>
      <c r="E12" s="218">
        <v>253</v>
      </c>
      <c r="F12" s="219">
        <v>5295</v>
      </c>
      <c r="G12" s="213"/>
      <c r="H12" s="220">
        <f t="shared" si="0"/>
        <v>78131.59</v>
      </c>
    </row>
    <row r="13" ht="30" customHeight="1" spans="1:8">
      <c r="A13" s="238">
        <v>44621</v>
      </c>
      <c r="B13" s="191">
        <v>1079</v>
      </c>
      <c r="C13" s="223">
        <v>109584.01</v>
      </c>
      <c r="D13" s="210"/>
      <c r="E13" s="218">
        <v>224</v>
      </c>
      <c r="F13" s="219">
        <v>6267</v>
      </c>
      <c r="G13" s="213"/>
      <c r="H13" s="220">
        <f t="shared" si="0"/>
        <v>115851.01</v>
      </c>
    </row>
    <row r="14" ht="30" customHeight="1" spans="1:8">
      <c r="A14" s="239">
        <v>44986</v>
      </c>
      <c r="B14" s="193">
        <v>1248</v>
      </c>
      <c r="C14" s="126">
        <v>132644.73</v>
      </c>
      <c r="D14" s="210"/>
      <c r="E14" s="226">
        <v>13</v>
      </c>
      <c r="F14" s="227">
        <v>325</v>
      </c>
      <c r="G14" s="213"/>
      <c r="H14" s="220">
        <f t="shared" si="0"/>
        <v>132969.73</v>
      </c>
    </row>
    <row r="15" ht="30" customHeight="1" spans="1:8">
      <c r="A15" s="240"/>
      <c r="B15" s="240"/>
      <c r="C15" s="230"/>
      <c r="D15" s="210"/>
      <c r="E15" s="235"/>
      <c r="F15" s="236"/>
      <c r="G15" s="213"/>
      <c r="H15" s="233"/>
    </row>
    <row r="16" ht="30" customHeight="1" spans="1:8">
      <c r="A16" s="237">
        <v>44287</v>
      </c>
      <c r="B16" s="188">
        <v>493</v>
      </c>
      <c r="C16" s="217">
        <v>54244.57</v>
      </c>
      <c r="D16" s="210"/>
      <c r="E16" s="218">
        <v>779</v>
      </c>
      <c r="F16" s="219">
        <v>17358</v>
      </c>
      <c r="G16" s="213"/>
      <c r="H16" s="220">
        <f t="shared" si="0"/>
        <v>71602.57</v>
      </c>
    </row>
    <row r="17" ht="30" customHeight="1" spans="1:8">
      <c r="A17" s="238">
        <v>44652</v>
      </c>
      <c r="B17" s="191">
        <v>737</v>
      </c>
      <c r="C17" s="223">
        <v>66215.68</v>
      </c>
      <c r="D17" s="210"/>
      <c r="E17" s="218">
        <v>111</v>
      </c>
      <c r="F17" s="219">
        <v>1983</v>
      </c>
      <c r="G17" s="213"/>
      <c r="H17" s="220">
        <f t="shared" si="0"/>
        <v>68198.68</v>
      </c>
    </row>
    <row r="18" ht="30" customHeight="1" spans="1:8">
      <c r="A18" s="239">
        <v>45017</v>
      </c>
      <c r="B18" s="193">
        <v>915</v>
      </c>
      <c r="C18" s="126">
        <v>62729.86</v>
      </c>
      <c r="D18" s="210"/>
      <c r="E18" s="243" t="s">
        <v>32</v>
      </c>
      <c r="F18" s="244"/>
      <c r="G18" s="213"/>
      <c r="H18" s="220">
        <f t="shared" si="0"/>
        <v>62729.86</v>
      </c>
    </row>
    <row r="19" ht="30" customHeight="1" spans="1:8">
      <c r="A19" s="240"/>
      <c r="B19" s="240"/>
      <c r="C19" s="230"/>
      <c r="D19" s="210"/>
      <c r="E19" s="231"/>
      <c r="F19" s="232"/>
      <c r="G19" s="213"/>
      <c r="H19" s="233"/>
    </row>
    <row r="20" ht="30" customHeight="1" spans="1:8">
      <c r="A20" s="237">
        <v>44317</v>
      </c>
      <c r="B20" s="188">
        <v>654</v>
      </c>
      <c r="C20" s="217">
        <v>86497.77</v>
      </c>
      <c r="D20" s="210"/>
      <c r="E20" s="218">
        <v>423</v>
      </c>
      <c r="F20" s="219">
        <v>11640</v>
      </c>
      <c r="G20" s="213"/>
      <c r="H20" s="220">
        <f t="shared" si="0"/>
        <v>98137.77</v>
      </c>
    </row>
    <row r="21" ht="30" customHeight="1" spans="1:8">
      <c r="A21" s="238">
        <v>44682</v>
      </c>
      <c r="B21" s="191">
        <v>964</v>
      </c>
      <c r="C21" s="223">
        <v>88853.28</v>
      </c>
      <c r="D21" s="210"/>
      <c r="E21" s="218">
        <v>47</v>
      </c>
      <c r="F21" s="219">
        <v>1109</v>
      </c>
      <c r="G21" s="213"/>
      <c r="H21" s="220">
        <f t="shared" si="0"/>
        <v>89962.28</v>
      </c>
    </row>
    <row r="22" ht="30" customHeight="1" spans="1:8">
      <c r="A22" s="245" t="s">
        <v>36</v>
      </c>
      <c r="B22" s="193">
        <v>1290</v>
      </c>
      <c r="C22" s="126">
        <v>124189.46</v>
      </c>
      <c r="D22" s="210"/>
      <c r="E22" s="246" t="s">
        <v>32</v>
      </c>
      <c r="F22" s="247"/>
      <c r="G22" s="213"/>
      <c r="H22" s="220">
        <f t="shared" si="0"/>
        <v>124189.46</v>
      </c>
    </row>
    <row r="23" ht="30" customHeight="1" spans="1:8">
      <c r="A23" s="240"/>
      <c r="B23" s="240"/>
      <c r="C23" s="230"/>
      <c r="D23" s="210"/>
      <c r="E23" s="241"/>
      <c r="F23" s="242"/>
      <c r="G23" s="213"/>
      <c r="H23" s="233"/>
    </row>
    <row r="24" ht="30" customHeight="1" spans="1:8">
      <c r="A24" s="215">
        <v>44348</v>
      </c>
      <c r="B24" s="188">
        <v>932</v>
      </c>
      <c r="C24" s="248">
        <v>110155.28</v>
      </c>
      <c r="D24" s="210"/>
      <c r="E24" s="218">
        <v>398</v>
      </c>
      <c r="F24" s="219">
        <v>12600</v>
      </c>
      <c r="G24" s="213"/>
      <c r="H24" s="220">
        <f t="shared" si="0"/>
        <v>122755.28</v>
      </c>
    </row>
    <row r="25" ht="30" customHeight="1" spans="1:8">
      <c r="A25" s="249">
        <v>44713</v>
      </c>
      <c r="B25" s="250">
        <v>1164</v>
      </c>
      <c r="C25" s="251">
        <v>110435.35</v>
      </c>
      <c r="D25" s="210"/>
      <c r="E25" s="218">
        <v>182</v>
      </c>
      <c r="F25" s="219">
        <v>3632</v>
      </c>
      <c r="G25" s="213"/>
      <c r="H25" s="220">
        <f t="shared" si="0"/>
        <v>114067.35</v>
      </c>
    </row>
    <row r="26" ht="30" customHeight="1" spans="1:8">
      <c r="A26" s="249">
        <v>45078</v>
      </c>
      <c r="B26" s="252">
        <v>1172</v>
      </c>
      <c r="C26" s="251">
        <v>114684.29</v>
      </c>
      <c r="D26" s="210"/>
      <c r="E26" s="226" t="s">
        <v>32</v>
      </c>
      <c r="F26" s="227"/>
      <c r="G26" s="213"/>
      <c r="H26" s="220">
        <f t="shared" si="0"/>
        <v>114684.29</v>
      </c>
    </row>
    <row r="27" ht="30" customHeight="1" spans="1:8">
      <c r="A27" s="253"/>
      <c r="B27" s="253"/>
      <c r="C27" s="254"/>
      <c r="D27" s="210"/>
      <c r="E27" s="231"/>
      <c r="F27" s="232"/>
      <c r="G27" s="213"/>
      <c r="H27" s="233"/>
    </row>
    <row r="28" ht="30" customHeight="1" spans="1:8">
      <c r="A28" s="215">
        <v>44378</v>
      </c>
      <c r="B28" s="188">
        <v>909</v>
      </c>
      <c r="C28" s="217">
        <v>90933.9</v>
      </c>
      <c r="D28" s="210"/>
      <c r="E28" s="218">
        <v>479</v>
      </c>
      <c r="F28" s="219">
        <v>14575</v>
      </c>
      <c r="G28" s="213"/>
      <c r="H28" s="220">
        <f t="shared" si="0"/>
        <v>105508.9</v>
      </c>
    </row>
    <row r="29" ht="30" customHeight="1" spans="1:8">
      <c r="A29" s="221">
        <v>44743</v>
      </c>
      <c r="B29" s="191">
        <v>1212</v>
      </c>
      <c r="C29" s="223">
        <v>107198.59</v>
      </c>
      <c r="D29" s="210"/>
      <c r="E29" s="218">
        <v>182</v>
      </c>
      <c r="F29" s="219">
        <v>3696</v>
      </c>
      <c r="G29" s="213"/>
      <c r="H29" s="220">
        <f t="shared" si="0"/>
        <v>110894.59</v>
      </c>
    </row>
    <row r="30" ht="30" customHeight="1" spans="1:8">
      <c r="A30" s="255">
        <v>45108</v>
      </c>
      <c r="B30" s="193">
        <v>1618</v>
      </c>
      <c r="C30" s="256">
        <v>151180.13</v>
      </c>
      <c r="D30" s="210"/>
      <c r="E30" s="226" t="s">
        <v>32</v>
      </c>
      <c r="F30" s="227"/>
      <c r="G30" s="213"/>
      <c r="H30" s="220">
        <f t="shared" si="0"/>
        <v>151180.13</v>
      </c>
    </row>
    <row r="31" ht="30" customHeight="1" spans="1:8">
      <c r="A31" s="240"/>
      <c r="B31" s="240"/>
      <c r="C31" s="230"/>
      <c r="D31" s="210"/>
      <c r="E31" s="257"/>
      <c r="F31" s="258"/>
      <c r="G31" s="213"/>
      <c r="H31" s="233"/>
    </row>
    <row r="32" ht="30" customHeight="1" spans="1:8">
      <c r="A32" s="237">
        <v>44409</v>
      </c>
      <c r="B32" s="188">
        <v>1031</v>
      </c>
      <c r="C32" s="217">
        <v>114075.71</v>
      </c>
      <c r="D32" s="210"/>
      <c r="E32" s="259">
        <v>440</v>
      </c>
      <c r="F32" s="260">
        <v>11975</v>
      </c>
      <c r="G32" s="213"/>
      <c r="H32" s="220">
        <f t="shared" si="0"/>
        <v>126050.71</v>
      </c>
    </row>
    <row r="33" ht="30" customHeight="1" spans="1:8">
      <c r="A33" s="239">
        <v>44774</v>
      </c>
      <c r="B33" s="250">
        <v>1322</v>
      </c>
      <c r="C33" s="251">
        <v>119667.02</v>
      </c>
      <c r="D33" s="210"/>
      <c r="E33" s="218">
        <v>73</v>
      </c>
      <c r="F33" s="219">
        <v>2068</v>
      </c>
      <c r="G33" s="213"/>
      <c r="H33" s="220">
        <f t="shared" si="0"/>
        <v>121735.02</v>
      </c>
    </row>
    <row r="34" ht="30" customHeight="1" spans="1:8">
      <c r="A34" s="239">
        <v>45139</v>
      </c>
      <c r="B34" s="193">
        <v>1633</v>
      </c>
      <c r="C34" s="261">
        <v>134117.75</v>
      </c>
      <c r="D34" s="210"/>
      <c r="E34" s="226" t="s">
        <v>32</v>
      </c>
      <c r="F34" s="227"/>
      <c r="G34" s="213"/>
      <c r="H34" s="220">
        <f t="shared" si="0"/>
        <v>134117.75</v>
      </c>
    </row>
    <row r="35" ht="30" customHeight="1" spans="1:8">
      <c r="A35" s="240"/>
      <c r="B35" s="240"/>
      <c r="C35" s="230"/>
      <c r="D35" s="210"/>
      <c r="E35" s="231"/>
      <c r="F35" s="232"/>
      <c r="G35" s="213"/>
      <c r="H35" s="233"/>
    </row>
    <row r="36" ht="30" customHeight="1" spans="1:8">
      <c r="A36" s="215">
        <v>44440</v>
      </c>
      <c r="B36" s="188">
        <v>1052</v>
      </c>
      <c r="C36" s="262">
        <v>119683.42</v>
      </c>
      <c r="D36" s="210"/>
      <c r="E36" s="218">
        <v>474</v>
      </c>
      <c r="F36" s="219">
        <v>10215</v>
      </c>
      <c r="G36" s="213"/>
      <c r="H36" s="220">
        <f t="shared" si="0"/>
        <v>129898.42</v>
      </c>
    </row>
    <row r="37" ht="30" customHeight="1" spans="1:8">
      <c r="A37" s="263">
        <v>44805</v>
      </c>
      <c r="B37" s="264">
        <v>1318</v>
      </c>
      <c r="C37" s="265">
        <v>122988.83</v>
      </c>
      <c r="D37" s="210"/>
      <c r="E37" s="218">
        <v>64</v>
      </c>
      <c r="F37" s="219">
        <v>1621</v>
      </c>
      <c r="G37" s="213"/>
      <c r="H37" s="220">
        <f t="shared" si="0"/>
        <v>124609.83</v>
      </c>
    </row>
    <row r="38" ht="30" customHeight="1" spans="1:8">
      <c r="A38" s="255">
        <v>45170</v>
      </c>
      <c r="B38" s="193">
        <v>1676</v>
      </c>
      <c r="C38" s="256">
        <v>148917.33</v>
      </c>
      <c r="D38" s="210"/>
      <c r="E38" s="226" t="s">
        <v>32</v>
      </c>
      <c r="F38" s="227"/>
      <c r="G38" s="213"/>
      <c r="H38" s="220">
        <f t="shared" si="0"/>
        <v>148917.33</v>
      </c>
    </row>
    <row r="39" ht="30" customHeight="1" spans="1:8">
      <c r="A39" s="266"/>
      <c r="B39" s="267"/>
      <c r="C39" s="268"/>
      <c r="D39" s="210"/>
      <c r="E39" s="231"/>
      <c r="F39" s="232"/>
      <c r="G39" s="213"/>
      <c r="H39" s="233"/>
    </row>
    <row r="40" ht="30" customHeight="1" spans="1:8">
      <c r="A40" s="237">
        <v>44470</v>
      </c>
      <c r="B40" s="188">
        <v>1099</v>
      </c>
      <c r="C40" s="217">
        <v>133512.48</v>
      </c>
      <c r="D40" s="210"/>
      <c r="E40" s="218">
        <v>502</v>
      </c>
      <c r="F40" s="219">
        <v>11585</v>
      </c>
      <c r="G40" s="213"/>
      <c r="H40" s="220">
        <f t="shared" si="0"/>
        <v>145097.48</v>
      </c>
    </row>
    <row r="41" ht="30" customHeight="1" spans="1:8">
      <c r="A41" s="239">
        <v>44835</v>
      </c>
      <c r="B41" s="191">
        <v>1425</v>
      </c>
      <c r="C41" s="223">
        <v>133871.87</v>
      </c>
      <c r="D41" s="210"/>
      <c r="E41" s="269">
        <v>30</v>
      </c>
      <c r="F41" s="270">
        <v>1111</v>
      </c>
      <c r="G41" s="213"/>
      <c r="H41" s="271">
        <f t="shared" si="0"/>
        <v>134982.87</v>
      </c>
    </row>
    <row r="42" ht="30" customHeight="1" spans="1:8">
      <c r="A42" s="239">
        <v>45200</v>
      </c>
      <c r="B42" s="193">
        <v>1735</v>
      </c>
      <c r="C42" s="261">
        <v>137676.67</v>
      </c>
      <c r="D42" s="210"/>
      <c r="E42" s="272" t="s">
        <v>32</v>
      </c>
      <c r="F42" s="273"/>
      <c r="G42" s="213"/>
      <c r="H42" s="274">
        <f t="shared" si="0"/>
        <v>137676.67</v>
      </c>
    </row>
    <row r="43" ht="27.75" customHeight="1" spans="1:8">
      <c r="A43" s="186"/>
      <c r="C43" s="187"/>
      <c r="D43" s="210"/>
      <c r="E43" s="186"/>
      <c r="F43" s="187"/>
      <c r="G43" s="213"/>
      <c r="H43" s="275"/>
    </row>
    <row r="44" ht="30" customHeight="1" spans="1:8">
      <c r="A44" s="276">
        <v>44501</v>
      </c>
      <c r="B44" s="277">
        <v>983</v>
      </c>
      <c r="C44" s="278">
        <v>152521.49</v>
      </c>
      <c r="D44" s="210"/>
      <c r="E44" s="259">
        <v>193</v>
      </c>
      <c r="F44" s="260">
        <v>4530</v>
      </c>
      <c r="G44" s="213"/>
      <c r="H44" s="279">
        <f t="shared" ref="H44:H45" si="1">C44+F44</f>
        <v>157051.49</v>
      </c>
    </row>
    <row r="45" ht="30" customHeight="1" spans="1:8">
      <c r="A45" s="280">
        <v>44866</v>
      </c>
      <c r="B45" s="281">
        <v>1340</v>
      </c>
      <c r="C45" s="282">
        <v>120699.71</v>
      </c>
      <c r="D45" s="210"/>
      <c r="E45" s="246">
        <v>107</v>
      </c>
      <c r="F45" s="247">
        <v>3168</v>
      </c>
      <c r="G45" s="213"/>
      <c r="H45" s="220">
        <f t="shared" si="1"/>
        <v>123867.71</v>
      </c>
    </row>
    <row r="46" ht="30" customHeight="1" spans="1:8">
      <c r="A46" s="283">
        <v>45231</v>
      </c>
      <c r="B46" s="284">
        <v>1556</v>
      </c>
      <c r="C46" s="285">
        <v>144579.2</v>
      </c>
      <c r="D46" s="210"/>
      <c r="E46" s="226" t="s">
        <v>32</v>
      </c>
      <c r="F46" s="227"/>
      <c r="G46" s="213"/>
      <c r="H46" s="286">
        <v>144579.2</v>
      </c>
    </row>
    <row r="47" ht="21.75" customHeight="1" spans="1:8">
      <c r="A47" s="186"/>
      <c r="C47" s="187"/>
      <c r="D47" s="210"/>
      <c r="E47" s="186"/>
      <c r="F47" s="187"/>
      <c r="G47" s="213"/>
      <c r="H47" s="287"/>
    </row>
    <row r="48" ht="30" customHeight="1" spans="1:8">
      <c r="A48" s="113">
        <v>44531</v>
      </c>
      <c r="B48" s="188">
        <v>907</v>
      </c>
      <c r="C48" s="288">
        <v>118165.72</v>
      </c>
      <c r="D48" s="210"/>
      <c r="E48" s="289">
        <v>513</v>
      </c>
      <c r="F48" s="290">
        <v>15230</v>
      </c>
      <c r="G48" s="213"/>
      <c r="H48" s="291">
        <v>133395.72</v>
      </c>
    </row>
    <row r="49" ht="30" customHeight="1" spans="1:8">
      <c r="A49" s="292">
        <v>44896</v>
      </c>
      <c r="B49" s="191">
        <v>1472</v>
      </c>
      <c r="C49" s="293">
        <v>153970.81</v>
      </c>
      <c r="D49" s="210"/>
      <c r="E49" s="294">
        <v>41</v>
      </c>
      <c r="F49" s="295">
        <v>1085</v>
      </c>
      <c r="G49" s="213"/>
      <c r="H49" s="296">
        <v>155055.81</v>
      </c>
    </row>
    <row r="50" ht="30" customHeight="1" spans="1:8">
      <c r="A50" s="297">
        <v>45261</v>
      </c>
      <c r="B50" s="193">
        <v>1594</v>
      </c>
      <c r="C50" s="298">
        <v>147255.93</v>
      </c>
      <c r="D50" s="299"/>
      <c r="E50" s="300" t="s">
        <v>32</v>
      </c>
      <c r="F50" s="301"/>
      <c r="G50" s="302"/>
      <c r="H50" s="303">
        <v>147255.93</v>
      </c>
    </row>
    <row r="51" ht="15.75" customHeight="1" spans="4:7">
      <c r="D51" s="210"/>
      <c r="G51" s="213"/>
    </row>
    <row r="52" ht="15.75" customHeight="1" spans="7:7">
      <c r="G52" s="213"/>
    </row>
  </sheetData>
  <mergeCells count="12">
    <mergeCell ref="B1:C1"/>
    <mergeCell ref="E11:F11"/>
    <mergeCell ref="E18:F18"/>
    <mergeCell ref="E22:F22"/>
    <mergeCell ref="E23:F23"/>
    <mergeCell ref="E26:F26"/>
    <mergeCell ref="E30:F30"/>
    <mergeCell ref="E34:F34"/>
    <mergeCell ref="E38:F38"/>
    <mergeCell ref="E42:F42"/>
    <mergeCell ref="E46:F46"/>
    <mergeCell ref="E50:F50"/>
  </mergeCells>
  <pageMargins left="0.7" right="0.7" top="0.75" bottom="0.75" header="0.3" footer="0.3"/>
  <pageSetup paperSize="1" scale="47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49"/>
  <sheetViews>
    <sheetView workbookViewId="0">
      <selection activeCell="A1" sqref="A1:E49"/>
    </sheetView>
  </sheetViews>
  <sheetFormatPr defaultColWidth="9" defaultRowHeight="15" outlineLevelCol="4"/>
  <cols>
    <col min="1" max="1" width="22.2857142857143" customWidth="1"/>
    <col min="2" max="2" width="26.7142857142857" customWidth="1"/>
    <col min="3" max="3" width="31.7142857142857" customWidth="1"/>
    <col min="4" max="4" width="21.5714285714286" customWidth="1"/>
    <col min="5" max="5" width="24" customWidth="1"/>
  </cols>
  <sheetData>
    <row r="1" ht="35.25" customHeight="1" spans="1:5">
      <c r="A1" s="30" t="s">
        <v>0</v>
      </c>
      <c r="B1" s="31" t="s">
        <v>3</v>
      </c>
      <c r="C1" s="138"/>
      <c r="D1" s="138"/>
      <c r="E1" s="32"/>
    </row>
    <row r="2" ht="48" customHeight="1" spans="1:5">
      <c r="A2" s="30"/>
      <c r="B2" s="139" t="s">
        <v>8</v>
      </c>
      <c r="C2" s="140" t="s">
        <v>9</v>
      </c>
      <c r="D2" s="141" t="s">
        <v>10</v>
      </c>
      <c r="E2" s="142" t="s">
        <v>42</v>
      </c>
    </row>
    <row r="3" ht="20.1" customHeight="1" spans="1:5">
      <c r="A3" s="37">
        <v>44197</v>
      </c>
      <c r="B3" s="143">
        <v>74</v>
      </c>
      <c r="C3" s="144">
        <v>11032</v>
      </c>
      <c r="D3" s="145">
        <v>6700</v>
      </c>
      <c r="E3" s="146">
        <v>17732</v>
      </c>
    </row>
    <row r="4" ht="20.1" customHeight="1" spans="1:5">
      <c r="A4" s="44">
        <v>44562</v>
      </c>
      <c r="B4" s="147">
        <v>68</v>
      </c>
      <c r="C4" s="148">
        <v>11782.4</v>
      </c>
      <c r="D4" s="149">
        <v>4070</v>
      </c>
      <c r="E4" s="150">
        <v>15852.4</v>
      </c>
    </row>
    <row r="5" ht="20.1" customHeight="1" spans="1:5">
      <c r="A5" s="51" t="s">
        <v>35</v>
      </c>
      <c r="B5" s="151">
        <v>92</v>
      </c>
      <c r="C5" s="152">
        <v>24135.68</v>
      </c>
      <c r="D5" s="55">
        <v>7220</v>
      </c>
      <c r="E5" s="153">
        <v>31355.68</v>
      </c>
    </row>
    <row r="6" ht="20.1" customHeight="1" spans="1:5">
      <c r="A6" s="58"/>
      <c r="B6" s="154"/>
      <c r="C6" s="155"/>
      <c r="D6" s="155"/>
      <c r="E6" s="156"/>
    </row>
    <row r="7" ht="20.1" customHeight="1" spans="1:5">
      <c r="A7" s="37">
        <v>44228</v>
      </c>
      <c r="B7" s="143">
        <v>57</v>
      </c>
      <c r="C7" s="157">
        <v>33527.36</v>
      </c>
      <c r="D7" s="145">
        <v>13343</v>
      </c>
      <c r="E7" s="146">
        <v>46870.36</v>
      </c>
    </row>
    <row r="8" ht="20.1" customHeight="1" spans="1:5">
      <c r="A8" s="44">
        <v>44593</v>
      </c>
      <c r="B8" s="147">
        <v>134</v>
      </c>
      <c r="C8" s="158">
        <v>14905.2</v>
      </c>
      <c r="D8" s="149">
        <v>9644</v>
      </c>
      <c r="E8" s="150">
        <v>24549.2</v>
      </c>
    </row>
    <row r="9" ht="20.1" customHeight="1" spans="1:5">
      <c r="A9" s="64">
        <v>44958</v>
      </c>
      <c r="B9" s="151">
        <v>108</v>
      </c>
      <c r="C9" s="152">
        <v>20028.8</v>
      </c>
      <c r="D9" s="55">
        <v>9650</v>
      </c>
      <c r="E9" s="153">
        <v>29678.8</v>
      </c>
    </row>
    <row r="10" ht="20.1" customHeight="1" spans="1:5">
      <c r="A10" s="58"/>
      <c r="B10" s="154"/>
      <c r="C10" s="155"/>
      <c r="D10" s="155"/>
      <c r="E10" s="156"/>
    </row>
    <row r="11" ht="20.1" customHeight="1" spans="1:5">
      <c r="A11" s="37">
        <v>44256</v>
      </c>
      <c r="B11" s="143">
        <v>40</v>
      </c>
      <c r="C11" s="157">
        <v>14244.44</v>
      </c>
      <c r="D11" s="145">
        <v>11590</v>
      </c>
      <c r="E11" s="146">
        <v>25834.44</v>
      </c>
    </row>
    <row r="12" ht="20.1" customHeight="1" spans="1:5">
      <c r="A12" s="44">
        <v>44621</v>
      </c>
      <c r="B12" s="147">
        <v>157</v>
      </c>
      <c r="C12" s="148">
        <v>24089.3</v>
      </c>
      <c r="D12" s="149">
        <v>11520</v>
      </c>
      <c r="E12" s="150">
        <v>35609.3</v>
      </c>
    </row>
    <row r="13" ht="20.1" customHeight="1" spans="1:5">
      <c r="A13" s="64">
        <v>44986</v>
      </c>
      <c r="B13" s="151">
        <v>130</v>
      </c>
      <c r="C13" s="152">
        <v>22754.7</v>
      </c>
      <c r="D13" s="55">
        <v>9790</v>
      </c>
      <c r="E13" s="153">
        <v>32544.7</v>
      </c>
    </row>
    <row r="14" ht="20.1" customHeight="1" spans="1:5">
      <c r="A14" s="58"/>
      <c r="B14" s="154"/>
      <c r="C14" s="155"/>
      <c r="D14" s="155"/>
      <c r="E14" s="156"/>
    </row>
    <row r="15" ht="20.1" customHeight="1" spans="1:5">
      <c r="A15" s="37">
        <v>44287</v>
      </c>
      <c r="B15" s="143">
        <v>98</v>
      </c>
      <c r="C15" s="144">
        <v>1302</v>
      </c>
      <c r="D15" s="145">
        <v>7805</v>
      </c>
      <c r="E15" s="146">
        <v>9107</v>
      </c>
    </row>
    <row r="16" ht="20.1" customHeight="1" spans="1:5">
      <c r="A16" s="44">
        <v>44652</v>
      </c>
      <c r="B16" s="147">
        <v>136</v>
      </c>
      <c r="C16" s="158">
        <v>13396.07</v>
      </c>
      <c r="D16" s="149">
        <v>10670</v>
      </c>
      <c r="E16" s="150">
        <v>24066.07</v>
      </c>
    </row>
    <row r="17" ht="20.1" customHeight="1" spans="1:5">
      <c r="A17" s="64">
        <v>45017</v>
      </c>
      <c r="B17" s="151">
        <v>18</v>
      </c>
      <c r="C17" s="152">
        <v>232</v>
      </c>
      <c r="D17" s="55">
        <v>2070</v>
      </c>
      <c r="E17" s="153">
        <v>2302</v>
      </c>
    </row>
    <row r="18" ht="20.1" customHeight="1" spans="1:5">
      <c r="A18" s="58"/>
      <c r="B18" s="154"/>
      <c r="C18" s="155"/>
      <c r="D18" s="155"/>
      <c r="E18" s="156"/>
    </row>
    <row r="19" ht="20.1" customHeight="1" spans="1:5">
      <c r="A19" s="37">
        <v>44317</v>
      </c>
      <c r="B19" s="143">
        <v>122</v>
      </c>
      <c r="C19" s="157">
        <v>5421.92</v>
      </c>
      <c r="D19" s="145">
        <v>9150</v>
      </c>
      <c r="E19" s="146">
        <v>14571.92</v>
      </c>
    </row>
    <row r="20" ht="20.1" customHeight="1" spans="1:5">
      <c r="A20" s="44">
        <v>44682</v>
      </c>
      <c r="B20" s="147">
        <v>157</v>
      </c>
      <c r="C20" s="148">
        <v>13705.5</v>
      </c>
      <c r="D20" s="149">
        <v>11400</v>
      </c>
      <c r="E20" s="150">
        <v>25105.5</v>
      </c>
    </row>
    <row r="21" ht="20.1" customHeight="1" spans="1:5">
      <c r="A21" s="51" t="s">
        <v>36</v>
      </c>
      <c r="B21" s="151">
        <v>185</v>
      </c>
      <c r="C21" s="152">
        <v>29194</v>
      </c>
      <c r="D21" s="55">
        <v>13640</v>
      </c>
      <c r="E21" s="153">
        <v>42834</v>
      </c>
    </row>
    <row r="22" ht="20.1" customHeight="1" spans="1:5">
      <c r="A22" s="58"/>
      <c r="B22" s="154"/>
      <c r="C22" s="155"/>
      <c r="D22" s="155"/>
      <c r="E22" s="156"/>
    </row>
    <row r="23" ht="20.1" customHeight="1" spans="1:5">
      <c r="A23" s="159">
        <v>44348</v>
      </c>
      <c r="B23" s="143">
        <v>145</v>
      </c>
      <c r="C23" s="157">
        <v>13687.68</v>
      </c>
      <c r="D23" s="145">
        <v>10080</v>
      </c>
      <c r="E23" s="146">
        <v>23767.68</v>
      </c>
    </row>
    <row r="24" ht="20.1" customHeight="1" spans="1:5">
      <c r="A24" s="160">
        <v>44713</v>
      </c>
      <c r="B24" s="161">
        <v>126</v>
      </c>
      <c r="C24" s="162">
        <v>19814.4</v>
      </c>
      <c r="D24" s="163">
        <v>8930</v>
      </c>
      <c r="E24" s="150">
        <v>28744.4</v>
      </c>
    </row>
    <row r="25" ht="20.1" customHeight="1" spans="1:5">
      <c r="A25" s="160">
        <v>45078</v>
      </c>
      <c r="B25" s="164">
        <v>121</v>
      </c>
      <c r="C25" s="165">
        <v>14615.84</v>
      </c>
      <c r="D25" s="166">
        <v>11704</v>
      </c>
      <c r="E25" s="153">
        <v>26319.8</v>
      </c>
    </row>
    <row r="26" ht="20.1" customHeight="1" spans="1:5">
      <c r="A26" s="80"/>
      <c r="B26" s="154"/>
      <c r="C26" s="155"/>
      <c r="D26" s="155"/>
      <c r="E26" s="156"/>
    </row>
    <row r="27" ht="20.1" customHeight="1" spans="1:5">
      <c r="A27" s="159">
        <v>44378</v>
      </c>
      <c r="B27" s="143">
        <v>113</v>
      </c>
      <c r="C27" s="157">
        <v>4105.68</v>
      </c>
      <c r="D27" s="145">
        <v>10075</v>
      </c>
      <c r="E27" s="146">
        <v>14180.68</v>
      </c>
    </row>
    <row r="28" ht="20.1" customHeight="1" spans="1:5">
      <c r="A28" s="167">
        <v>44743</v>
      </c>
      <c r="B28" s="147">
        <v>95</v>
      </c>
      <c r="C28" s="158">
        <v>7009.2</v>
      </c>
      <c r="D28" s="149">
        <v>8260</v>
      </c>
      <c r="E28" s="150">
        <v>15269.2</v>
      </c>
    </row>
    <row r="29" ht="20.1" customHeight="1" spans="1:5">
      <c r="A29" s="168">
        <v>45108</v>
      </c>
      <c r="B29" s="164">
        <v>136</v>
      </c>
      <c r="C29" s="165">
        <v>18077.6</v>
      </c>
      <c r="D29" s="166">
        <v>11855</v>
      </c>
      <c r="E29" s="153">
        <v>29932.6</v>
      </c>
    </row>
    <row r="30" ht="20.1" customHeight="1" spans="1:5">
      <c r="A30" s="58"/>
      <c r="B30" s="154"/>
      <c r="C30" s="155"/>
      <c r="D30" s="155"/>
      <c r="E30" s="156"/>
    </row>
    <row r="31" ht="20.1" customHeight="1" spans="1:5">
      <c r="A31" s="159">
        <v>44409</v>
      </c>
      <c r="B31" s="143">
        <v>155</v>
      </c>
      <c r="C31" s="157">
        <v>14326.96</v>
      </c>
      <c r="D31" s="145">
        <v>10420</v>
      </c>
      <c r="E31" s="146">
        <v>24746.96</v>
      </c>
    </row>
    <row r="32" ht="20.1" customHeight="1" spans="1:5">
      <c r="A32" s="167">
        <v>44774</v>
      </c>
      <c r="B32" s="161">
        <v>151</v>
      </c>
      <c r="C32" s="169">
        <v>26371.2</v>
      </c>
      <c r="D32" s="163">
        <v>8610</v>
      </c>
      <c r="E32" s="150">
        <v>34981.2</v>
      </c>
    </row>
    <row r="33" ht="20.1" customHeight="1" spans="1:5">
      <c r="A33" s="168">
        <v>45139</v>
      </c>
      <c r="B33" s="164">
        <v>101</v>
      </c>
      <c r="C33" s="165">
        <v>17656.72</v>
      </c>
      <c r="D33" s="166">
        <v>7255</v>
      </c>
      <c r="E33" s="153">
        <v>24911.7</v>
      </c>
    </row>
    <row r="34" ht="20.1" customHeight="1" spans="1:5">
      <c r="A34" s="58"/>
      <c r="B34" s="170"/>
      <c r="C34" s="171"/>
      <c r="D34" s="171"/>
      <c r="E34" s="172"/>
    </row>
    <row r="35" ht="20.1" customHeight="1" spans="1:5">
      <c r="A35" s="159">
        <v>44440</v>
      </c>
      <c r="B35" s="173">
        <v>143</v>
      </c>
      <c r="C35" s="174">
        <v>19019.04</v>
      </c>
      <c r="D35" s="135">
        <v>10950</v>
      </c>
      <c r="E35" s="146">
        <v>29969.04</v>
      </c>
    </row>
    <row r="36" ht="20.1" customHeight="1" spans="1:5">
      <c r="A36" s="175">
        <v>44805</v>
      </c>
      <c r="B36" s="176">
        <v>107</v>
      </c>
      <c r="C36" s="177">
        <v>24774.1</v>
      </c>
      <c r="D36" s="178">
        <v>8090</v>
      </c>
      <c r="E36" s="150">
        <v>32864.1</v>
      </c>
    </row>
    <row r="37" ht="20.1" customHeight="1" spans="1:5">
      <c r="A37" s="168">
        <v>45170</v>
      </c>
      <c r="B37" s="164">
        <v>143</v>
      </c>
      <c r="C37" s="179">
        <v>17301.12</v>
      </c>
      <c r="D37" s="166">
        <v>12200</v>
      </c>
      <c r="E37" s="153">
        <v>29501.12</v>
      </c>
    </row>
    <row r="38" ht="20.1" customHeight="1" spans="1:5">
      <c r="A38" s="100"/>
      <c r="B38" s="180"/>
      <c r="C38" s="181"/>
      <c r="D38" s="181"/>
      <c r="E38" s="182"/>
    </row>
    <row r="39" ht="20.1" customHeight="1" spans="1:5">
      <c r="A39" s="159">
        <v>44470</v>
      </c>
      <c r="B39" s="173">
        <v>155</v>
      </c>
      <c r="C39" s="174">
        <v>30595.92</v>
      </c>
      <c r="D39" s="135">
        <v>12050</v>
      </c>
      <c r="E39" s="146">
        <v>42645.92</v>
      </c>
    </row>
    <row r="40" ht="20.1" customHeight="1" spans="1:5">
      <c r="A40" s="167">
        <v>44835</v>
      </c>
      <c r="B40" s="183">
        <v>132</v>
      </c>
      <c r="C40" s="184">
        <v>38602.2</v>
      </c>
      <c r="D40" s="136">
        <v>8610</v>
      </c>
      <c r="E40" s="150">
        <v>47212.2</v>
      </c>
    </row>
    <row r="41" ht="20.1" customHeight="1" spans="1:5">
      <c r="A41" s="168">
        <v>45200</v>
      </c>
      <c r="B41" s="151">
        <v>142</v>
      </c>
      <c r="C41" s="185">
        <v>20292.08</v>
      </c>
      <c r="D41" s="55">
        <v>11095</v>
      </c>
      <c r="E41" s="153">
        <v>31387.08</v>
      </c>
    </row>
    <row r="42" ht="15.75" spans="1:5">
      <c r="A42" s="186"/>
      <c r="E42" s="187"/>
    </row>
    <row r="43" ht="18.75" spans="1:5">
      <c r="A43" s="159">
        <v>44501</v>
      </c>
      <c r="B43" s="188">
        <v>184</v>
      </c>
      <c r="C43" s="189">
        <v>48860.16</v>
      </c>
      <c r="D43" s="190">
        <v>8850</v>
      </c>
      <c r="E43" s="146">
        <v>57710.16</v>
      </c>
    </row>
    <row r="44" ht="18.75" spans="1:5">
      <c r="A44" s="167">
        <v>44866</v>
      </c>
      <c r="B44" s="191">
        <v>131</v>
      </c>
      <c r="C44" s="192">
        <v>40143.2</v>
      </c>
      <c r="D44" s="120">
        <v>7415</v>
      </c>
      <c r="E44" s="150">
        <v>47558.2</v>
      </c>
    </row>
    <row r="45" ht="19.5" spans="1:5">
      <c r="A45" s="168">
        <v>45231</v>
      </c>
      <c r="B45" s="193">
        <v>129</v>
      </c>
      <c r="C45" s="194">
        <v>30452.95</v>
      </c>
      <c r="D45" s="125">
        <v>8615</v>
      </c>
      <c r="E45" s="153">
        <v>39067.95</v>
      </c>
    </row>
    <row r="46" ht="15.75" spans="1:5">
      <c r="A46" s="186"/>
      <c r="E46" s="187"/>
    </row>
    <row r="47" ht="18.75" spans="1:5">
      <c r="A47" s="159">
        <v>44531</v>
      </c>
      <c r="B47" s="195">
        <v>96</v>
      </c>
      <c r="C47" s="196">
        <v>43269.84</v>
      </c>
      <c r="D47" s="190">
        <v>3790</v>
      </c>
      <c r="E47" s="146">
        <v>47059.84</v>
      </c>
    </row>
    <row r="48" ht="18.75" spans="1:5">
      <c r="A48" s="167">
        <v>44896</v>
      </c>
      <c r="B48" s="197">
        <v>151</v>
      </c>
      <c r="C48" s="192">
        <v>61011.8</v>
      </c>
      <c r="D48" s="120">
        <v>7530</v>
      </c>
      <c r="E48" s="150">
        <v>68541.8</v>
      </c>
    </row>
    <row r="49" ht="19.5" spans="1:5">
      <c r="A49" s="168">
        <v>45261</v>
      </c>
      <c r="B49" s="198">
        <v>145</v>
      </c>
      <c r="C49" s="199">
        <v>26337.62</v>
      </c>
      <c r="D49" s="125">
        <v>10205</v>
      </c>
      <c r="E49" s="153">
        <v>36542.62</v>
      </c>
    </row>
  </sheetData>
  <mergeCells count="10">
    <mergeCell ref="B1:E1"/>
    <mergeCell ref="B6:E6"/>
    <mergeCell ref="B10:E10"/>
    <mergeCell ref="B14:E14"/>
    <mergeCell ref="B18:E18"/>
    <mergeCell ref="B22:E22"/>
    <mergeCell ref="B26:E26"/>
    <mergeCell ref="B30:E30"/>
    <mergeCell ref="B34:E34"/>
    <mergeCell ref="B38:E38"/>
  </mergeCells>
  <pageMargins left="0.7" right="0.7" top="0.75" bottom="0.78" header="0.3" footer="0.3"/>
  <pageSetup paperSize="1" scale="6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workbookViewId="0">
      <selection activeCell="F49" sqref="F49"/>
    </sheetView>
  </sheetViews>
  <sheetFormatPr defaultColWidth="9" defaultRowHeight="15"/>
  <cols>
    <col min="1" max="1" width="13.2857142857143" customWidth="1"/>
    <col min="2" max="2" width="22.7142857142857" customWidth="1"/>
    <col min="3" max="3" width="20.5714285714286" customWidth="1"/>
    <col min="4" max="4" width="20.8571428571429" customWidth="1"/>
    <col min="5" max="5" width="15.7142857142857" customWidth="1"/>
    <col min="6" max="6" width="23" customWidth="1"/>
    <col min="7" max="7" width="18.7142857142857" customWidth="1"/>
    <col min="8" max="8" width="21" customWidth="1"/>
    <col min="9" max="9" width="17.2857142857143" customWidth="1"/>
  </cols>
  <sheetData>
    <row r="1" ht="36" customHeight="1" spans="1:9">
      <c r="A1" s="30" t="s">
        <v>0</v>
      </c>
      <c r="B1" s="31" t="s">
        <v>4</v>
      </c>
      <c r="C1" s="32"/>
      <c r="D1" s="31" t="s">
        <v>1</v>
      </c>
      <c r="E1" s="32"/>
      <c r="F1" s="31" t="s">
        <v>2</v>
      </c>
      <c r="G1" s="32"/>
      <c r="H1" s="33" t="s">
        <v>3</v>
      </c>
      <c r="I1" s="127"/>
    </row>
    <row r="2" ht="26.25" customHeight="1" spans="1:9">
      <c r="A2" s="30"/>
      <c r="B2" s="34" t="s">
        <v>11</v>
      </c>
      <c r="C2" s="30" t="s">
        <v>43</v>
      </c>
      <c r="D2" s="35" t="s">
        <v>8</v>
      </c>
      <c r="E2" s="35" t="s">
        <v>10</v>
      </c>
      <c r="F2" s="35" t="s">
        <v>8</v>
      </c>
      <c r="G2" s="30" t="s">
        <v>10</v>
      </c>
      <c r="H2" s="36" t="s">
        <v>8</v>
      </c>
      <c r="I2" s="128" t="s">
        <v>10</v>
      </c>
    </row>
    <row r="3" ht="24.95" customHeight="1" spans="1:9">
      <c r="A3" s="37">
        <v>44197</v>
      </c>
      <c r="B3" s="38">
        <f>D3+H3</f>
        <v>581</v>
      </c>
      <c r="C3" s="39">
        <v>13619</v>
      </c>
      <c r="D3" s="40">
        <v>507</v>
      </c>
      <c r="E3" s="41">
        <v>6919</v>
      </c>
      <c r="F3" s="40">
        <v>0</v>
      </c>
      <c r="G3" s="42">
        <v>0</v>
      </c>
      <c r="H3" s="43">
        <v>74</v>
      </c>
      <c r="I3" s="129">
        <v>6700</v>
      </c>
    </row>
    <row r="4" ht="24.95" customHeight="1" spans="1:9">
      <c r="A4" s="44">
        <v>44562</v>
      </c>
      <c r="B4" s="45">
        <v>865</v>
      </c>
      <c r="C4" s="46">
        <v>9215</v>
      </c>
      <c r="D4" s="47">
        <v>614</v>
      </c>
      <c r="E4" s="48">
        <v>4490</v>
      </c>
      <c r="F4" s="47">
        <v>183</v>
      </c>
      <c r="G4" s="49">
        <v>655</v>
      </c>
      <c r="H4" s="50">
        <v>68</v>
      </c>
      <c r="I4" s="130">
        <v>4070</v>
      </c>
    </row>
    <row r="5" ht="24.95" customHeight="1" spans="1:9">
      <c r="A5" s="51" t="s">
        <v>35</v>
      </c>
      <c r="B5" s="52">
        <f>D5+F5+H5</f>
        <v>1368</v>
      </c>
      <c r="C5" s="53">
        <v>12902</v>
      </c>
      <c r="D5" s="54">
        <v>854</v>
      </c>
      <c r="E5" s="55">
        <v>3236</v>
      </c>
      <c r="F5" s="54">
        <v>422</v>
      </c>
      <c r="G5" s="56">
        <v>2446</v>
      </c>
      <c r="H5" s="57">
        <v>92</v>
      </c>
      <c r="I5" s="56">
        <v>7220</v>
      </c>
    </row>
    <row r="6" ht="30" customHeight="1" spans="1:9">
      <c r="A6" s="58"/>
      <c r="B6" s="59"/>
      <c r="C6" s="58"/>
      <c r="D6" s="60"/>
      <c r="E6" s="61"/>
      <c r="F6" s="60"/>
      <c r="G6" s="62"/>
      <c r="H6" s="60"/>
      <c r="I6" s="62"/>
    </row>
    <row r="7" ht="24.95" customHeight="1" spans="1:9">
      <c r="A7" s="37">
        <v>44228</v>
      </c>
      <c r="B7" s="38">
        <f>D7+F7++H7</f>
        <v>611</v>
      </c>
      <c r="C7" s="39">
        <v>21450</v>
      </c>
      <c r="D7" s="40">
        <v>554</v>
      </c>
      <c r="E7" s="41">
        <v>8107</v>
      </c>
      <c r="F7" s="40">
        <v>0</v>
      </c>
      <c r="G7" s="42">
        <v>0</v>
      </c>
      <c r="H7" s="63">
        <v>57</v>
      </c>
      <c r="I7" s="129">
        <v>13343</v>
      </c>
    </row>
    <row r="8" ht="24.95" customHeight="1" spans="1:9">
      <c r="A8" s="44">
        <v>44593</v>
      </c>
      <c r="B8" s="45">
        <f>D8+F8++H8</f>
        <v>883</v>
      </c>
      <c r="C8" s="46">
        <v>14504</v>
      </c>
      <c r="D8" s="47">
        <v>549</v>
      </c>
      <c r="E8" s="48">
        <v>2926</v>
      </c>
      <c r="F8" s="47">
        <v>200</v>
      </c>
      <c r="G8" s="49">
        <v>1934</v>
      </c>
      <c r="H8" s="50">
        <v>134</v>
      </c>
      <c r="I8" s="130">
        <v>9644</v>
      </c>
    </row>
    <row r="9" ht="24.95" customHeight="1" spans="1:9">
      <c r="A9" s="64">
        <v>44958</v>
      </c>
      <c r="B9" s="52">
        <f>D9+F9++H9</f>
        <v>1285</v>
      </c>
      <c r="C9" s="53">
        <v>14415</v>
      </c>
      <c r="D9" s="54">
        <v>856</v>
      </c>
      <c r="E9" s="55">
        <v>2985</v>
      </c>
      <c r="F9" s="54">
        <v>321</v>
      </c>
      <c r="G9" s="56">
        <v>1780</v>
      </c>
      <c r="H9" s="57">
        <v>108</v>
      </c>
      <c r="I9" s="56">
        <v>9650</v>
      </c>
    </row>
    <row r="10" ht="28.5" customHeight="1" spans="1:9">
      <c r="A10" s="58"/>
      <c r="B10" s="59"/>
      <c r="C10" s="58"/>
      <c r="D10" s="60"/>
      <c r="E10" s="61"/>
      <c r="F10" s="60"/>
      <c r="G10" s="62"/>
      <c r="H10" s="60"/>
      <c r="I10" s="62"/>
    </row>
    <row r="11" ht="24.95" customHeight="1" spans="1:9">
      <c r="A11" s="37">
        <v>44256</v>
      </c>
      <c r="B11" s="38">
        <f>D11+F11+H11</f>
        <v>510</v>
      </c>
      <c r="C11" s="39">
        <v>19669</v>
      </c>
      <c r="D11" s="40">
        <v>470</v>
      </c>
      <c r="E11" s="41">
        <v>8079</v>
      </c>
      <c r="F11" s="40">
        <v>0</v>
      </c>
      <c r="G11" s="42">
        <v>0</v>
      </c>
      <c r="H11" s="63">
        <v>40</v>
      </c>
      <c r="I11" s="129">
        <v>11590</v>
      </c>
    </row>
    <row r="12" ht="24.95" customHeight="1" spans="1:9">
      <c r="A12" s="44">
        <v>44621</v>
      </c>
      <c r="B12" s="45">
        <f>D12+F12+H12</f>
        <v>1079</v>
      </c>
      <c r="C12" s="46">
        <v>16206</v>
      </c>
      <c r="D12" s="47">
        <v>731</v>
      </c>
      <c r="E12" s="48">
        <v>3981</v>
      </c>
      <c r="F12" s="47">
        <v>191</v>
      </c>
      <c r="G12" s="49">
        <v>705</v>
      </c>
      <c r="H12" s="50">
        <v>157</v>
      </c>
      <c r="I12" s="130">
        <v>11520</v>
      </c>
    </row>
    <row r="13" ht="24.95" customHeight="1" spans="1:9">
      <c r="A13" s="64">
        <v>44986</v>
      </c>
      <c r="B13" s="52">
        <f>D13+F13+H13</f>
        <v>1248</v>
      </c>
      <c r="C13" s="53">
        <v>13475</v>
      </c>
      <c r="D13" s="54">
        <v>830</v>
      </c>
      <c r="E13" s="55">
        <v>3215</v>
      </c>
      <c r="F13" s="54">
        <v>288</v>
      </c>
      <c r="G13" s="56">
        <v>470</v>
      </c>
      <c r="H13" s="57">
        <v>130</v>
      </c>
      <c r="I13" s="56">
        <v>9790</v>
      </c>
    </row>
    <row r="14" ht="28.5" customHeight="1" spans="1:9">
      <c r="A14" s="58"/>
      <c r="B14" s="59"/>
      <c r="C14" s="58"/>
      <c r="D14" s="60"/>
      <c r="E14" s="61"/>
      <c r="F14" s="60"/>
      <c r="G14" s="62"/>
      <c r="H14" s="60"/>
      <c r="I14" s="62"/>
    </row>
    <row r="15" ht="24.95" customHeight="1" spans="1:9">
      <c r="A15" s="37">
        <v>44287</v>
      </c>
      <c r="B15" s="65">
        <f>D15+F15+H15</f>
        <v>493</v>
      </c>
      <c r="C15" s="66">
        <v>14503</v>
      </c>
      <c r="D15" s="40">
        <v>357</v>
      </c>
      <c r="E15" s="41">
        <v>6228</v>
      </c>
      <c r="F15" s="40">
        <v>38</v>
      </c>
      <c r="G15" s="42">
        <v>470</v>
      </c>
      <c r="H15" s="63">
        <v>98</v>
      </c>
      <c r="I15" s="129">
        <v>7805</v>
      </c>
    </row>
    <row r="16" ht="24.95" customHeight="1" spans="1:9">
      <c r="A16" s="44">
        <v>44652</v>
      </c>
      <c r="B16" s="45">
        <f>D16+F16+H16</f>
        <v>737</v>
      </c>
      <c r="C16" s="46">
        <v>14905</v>
      </c>
      <c r="D16" s="47">
        <v>506</v>
      </c>
      <c r="E16" s="48">
        <v>3385</v>
      </c>
      <c r="F16" s="47">
        <v>95</v>
      </c>
      <c r="G16" s="49">
        <v>850</v>
      </c>
      <c r="H16" s="50">
        <v>136</v>
      </c>
      <c r="I16" s="130">
        <v>10670</v>
      </c>
    </row>
    <row r="17" ht="24.95" customHeight="1" spans="1:9">
      <c r="A17" s="64">
        <v>45017</v>
      </c>
      <c r="B17" s="67">
        <f>D17+F17+H17</f>
        <v>915</v>
      </c>
      <c r="C17" s="68">
        <v>5110</v>
      </c>
      <c r="D17" s="54">
        <v>645</v>
      </c>
      <c r="E17" s="55">
        <v>2130</v>
      </c>
      <c r="F17" s="54">
        <v>252</v>
      </c>
      <c r="G17" s="56">
        <v>910</v>
      </c>
      <c r="H17" s="57">
        <v>18</v>
      </c>
      <c r="I17" s="56">
        <v>2070</v>
      </c>
    </row>
    <row r="18" ht="28.5" customHeight="1" spans="1:9">
      <c r="A18" s="58"/>
      <c r="B18" s="59"/>
      <c r="C18" s="58"/>
      <c r="D18" s="60"/>
      <c r="E18" s="69"/>
      <c r="F18" s="60"/>
      <c r="G18" s="62"/>
      <c r="H18" s="60"/>
      <c r="I18" s="62"/>
    </row>
    <row r="19" ht="24.95" customHeight="1" spans="1:9">
      <c r="A19" s="37">
        <v>44317</v>
      </c>
      <c r="B19" s="38">
        <f>D19+F19+H19</f>
        <v>654</v>
      </c>
      <c r="C19" s="39">
        <v>17887</v>
      </c>
      <c r="D19" s="40">
        <v>436</v>
      </c>
      <c r="E19" s="41">
        <v>8314</v>
      </c>
      <c r="F19" s="40">
        <v>96</v>
      </c>
      <c r="G19" s="42">
        <v>423</v>
      </c>
      <c r="H19" s="63">
        <v>122</v>
      </c>
      <c r="I19" s="129">
        <v>9150</v>
      </c>
    </row>
    <row r="20" ht="24.95" customHeight="1" spans="1:9">
      <c r="A20" s="44">
        <v>44682</v>
      </c>
      <c r="B20" s="45">
        <v>964</v>
      </c>
      <c r="C20" s="46">
        <v>18018</v>
      </c>
      <c r="D20" s="47">
        <v>609</v>
      </c>
      <c r="E20" s="48">
        <v>5538</v>
      </c>
      <c r="F20" s="47">
        <v>198</v>
      </c>
      <c r="G20" s="49">
        <v>1080</v>
      </c>
      <c r="H20" s="50">
        <v>157</v>
      </c>
      <c r="I20" s="130">
        <v>11400</v>
      </c>
    </row>
    <row r="21" ht="24.95" customHeight="1" spans="1:9">
      <c r="A21" s="51" t="s">
        <v>36</v>
      </c>
      <c r="B21" s="52">
        <f>D21+F21+H21</f>
        <v>1290</v>
      </c>
      <c r="C21" s="53">
        <v>18880</v>
      </c>
      <c r="D21" s="54">
        <v>871</v>
      </c>
      <c r="E21" s="55">
        <v>2455</v>
      </c>
      <c r="F21" s="54">
        <v>234</v>
      </c>
      <c r="G21" s="56">
        <v>2785</v>
      </c>
      <c r="H21" s="57">
        <v>185</v>
      </c>
      <c r="I21" s="56">
        <v>13640</v>
      </c>
    </row>
    <row r="22" ht="30.75" customHeight="1" spans="1:9">
      <c r="A22" s="58"/>
      <c r="B22" s="59"/>
      <c r="C22" s="58"/>
      <c r="D22" s="60"/>
      <c r="E22" s="69"/>
      <c r="F22" s="60"/>
      <c r="G22" s="62"/>
      <c r="H22" s="60"/>
      <c r="I22" s="62"/>
    </row>
    <row r="23" ht="24.95" customHeight="1" spans="1:9">
      <c r="A23" s="37">
        <v>44348</v>
      </c>
      <c r="B23" s="38">
        <f>D23+F23+H23</f>
        <v>932</v>
      </c>
      <c r="C23" s="39">
        <v>18370</v>
      </c>
      <c r="D23" s="40">
        <v>640</v>
      </c>
      <c r="E23" s="42">
        <v>7408</v>
      </c>
      <c r="F23" s="40">
        <v>147</v>
      </c>
      <c r="G23" s="42">
        <v>882</v>
      </c>
      <c r="H23" s="63">
        <v>145</v>
      </c>
      <c r="I23" s="129">
        <v>10080</v>
      </c>
    </row>
    <row r="24" ht="24.95" customHeight="1" spans="1:9">
      <c r="A24" s="70">
        <v>44713</v>
      </c>
      <c r="B24" s="71">
        <v>1164</v>
      </c>
      <c r="C24" s="72">
        <v>13830</v>
      </c>
      <c r="D24" s="73">
        <v>907</v>
      </c>
      <c r="E24" s="74">
        <v>4780</v>
      </c>
      <c r="F24" s="73">
        <v>131</v>
      </c>
      <c r="G24" s="74">
        <v>120</v>
      </c>
      <c r="H24" s="75">
        <v>126</v>
      </c>
      <c r="I24" s="131">
        <v>8930</v>
      </c>
    </row>
    <row r="25" ht="24.95" customHeight="1" spans="1:9">
      <c r="A25" s="70">
        <v>45078</v>
      </c>
      <c r="B25" s="76">
        <v>1172</v>
      </c>
      <c r="C25" s="77">
        <v>17356</v>
      </c>
      <c r="D25" s="75">
        <v>856</v>
      </c>
      <c r="E25" s="78">
        <v>4042</v>
      </c>
      <c r="F25" s="54">
        <v>195</v>
      </c>
      <c r="G25" s="79">
        <v>1610</v>
      </c>
      <c r="H25" s="57">
        <v>121</v>
      </c>
      <c r="I25" s="132">
        <v>11704</v>
      </c>
    </row>
    <row r="26" ht="31.5" customHeight="1" spans="1:9">
      <c r="A26" s="80"/>
      <c r="B26" s="81"/>
      <c r="C26" s="80"/>
      <c r="D26" s="82"/>
      <c r="E26" s="83"/>
      <c r="F26" s="82"/>
      <c r="G26" s="84"/>
      <c r="H26" s="82"/>
      <c r="I26" s="84"/>
    </row>
    <row r="27" ht="24.95" customHeight="1" spans="1:9">
      <c r="A27" s="37">
        <v>44378</v>
      </c>
      <c r="B27" s="38">
        <f>D27+F27+H27</f>
        <v>909</v>
      </c>
      <c r="C27" s="38">
        <v>17333</v>
      </c>
      <c r="D27" s="85">
        <v>642</v>
      </c>
      <c r="E27" s="86">
        <v>6278.5</v>
      </c>
      <c r="F27" s="40">
        <v>154</v>
      </c>
      <c r="G27" s="42">
        <v>980</v>
      </c>
      <c r="H27" s="63">
        <v>113</v>
      </c>
      <c r="I27" s="129">
        <v>10075</v>
      </c>
    </row>
    <row r="28" ht="24.95" customHeight="1" spans="1:9">
      <c r="A28" s="44">
        <v>44743</v>
      </c>
      <c r="B28" s="45">
        <v>1212</v>
      </c>
      <c r="C28" s="45">
        <v>14305</v>
      </c>
      <c r="D28" s="87">
        <v>862</v>
      </c>
      <c r="E28" s="49">
        <v>4665</v>
      </c>
      <c r="F28" s="47">
        <v>260</v>
      </c>
      <c r="G28" s="49">
        <v>1380</v>
      </c>
      <c r="H28" s="50">
        <v>95</v>
      </c>
      <c r="I28" s="130">
        <v>8260</v>
      </c>
    </row>
    <row r="29" ht="24.95" customHeight="1" spans="1:9">
      <c r="A29" s="64">
        <v>45108</v>
      </c>
      <c r="B29" s="76">
        <v>1618</v>
      </c>
      <c r="C29" s="76">
        <v>16120</v>
      </c>
      <c r="D29" s="88">
        <v>1210</v>
      </c>
      <c r="E29" s="79">
        <v>3165</v>
      </c>
      <c r="F29" s="54">
        <v>272</v>
      </c>
      <c r="G29" s="79">
        <v>1100</v>
      </c>
      <c r="H29" s="57">
        <v>136</v>
      </c>
      <c r="I29" s="132">
        <v>11855</v>
      </c>
    </row>
    <row r="30" ht="30.75" customHeight="1" spans="1:9">
      <c r="A30" s="58"/>
      <c r="B30" s="59"/>
      <c r="C30" s="58"/>
      <c r="D30" s="60"/>
      <c r="E30" s="69"/>
      <c r="F30" s="60"/>
      <c r="G30" s="89"/>
      <c r="H30" s="60"/>
      <c r="I30" s="62"/>
    </row>
    <row r="31" ht="24.95" customHeight="1" spans="1:9">
      <c r="A31" s="37">
        <v>44409</v>
      </c>
      <c r="B31" s="38">
        <f>D31+F31+H31</f>
        <v>1031</v>
      </c>
      <c r="C31" s="39">
        <v>16249</v>
      </c>
      <c r="D31" s="40">
        <v>644</v>
      </c>
      <c r="E31" s="42">
        <v>5166</v>
      </c>
      <c r="F31" s="40">
        <v>232</v>
      </c>
      <c r="G31" s="42">
        <v>663</v>
      </c>
      <c r="H31" s="63">
        <v>155</v>
      </c>
      <c r="I31" s="129">
        <v>10420</v>
      </c>
    </row>
    <row r="32" ht="24.95" customHeight="1" spans="1:9">
      <c r="A32" s="64">
        <v>44774</v>
      </c>
      <c r="B32" s="71">
        <v>1322</v>
      </c>
      <c r="C32" s="72">
        <v>13095</v>
      </c>
      <c r="D32" s="73">
        <v>1098</v>
      </c>
      <c r="E32" s="74">
        <v>4045</v>
      </c>
      <c r="F32" s="73">
        <v>73</v>
      </c>
      <c r="G32" s="74">
        <v>440</v>
      </c>
      <c r="H32" s="75">
        <v>151</v>
      </c>
      <c r="I32" s="131">
        <v>8610</v>
      </c>
    </row>
    <row r="33" ht="24.95" customHeight="1" spans="1:9">
      <c r="A33" s="64">
        <v>45139</v>
      </c>
      <c r="B33" s="52">
        <v>1633</v>
      </c>
      <c r="C33" s="53">
        <v>13290</v>
      </c>
      <c r="D33" s="54">
        <v>1453</v>
      </c>
      <c r="E33" s="79">
        <v>5090</v>
      </c>
      <c r="F33" s="54">
        <v>79</v>
      </c>
      <c r="G33" s="79">
        <v>945</v>
      </c>
      <c r="H33" s="57">
        <v>101</v>
      </c>
      <c r="I33" s="132">
        <v>7255</v>
      </c>
    </row>
    <row r="34" ht="30.75" customHeight="1" spans="1:9">
      <c r="A34" s="58"/>
      <c r="B34" s="59"/>
      <c r="C34" s="58"/>
      <c r="D34" s="60"/>
      <c r="E34" s="90"/>
      <c r="F34" s="60"/>
      <c r="G34" s="91"/>
      <c r="H34" s="60"/>
      <c r="I34" s="91"/>
    </row>
    <row r="35" ht="24.95" customHeight="1" spans="1:9">
      <c r="A35" s="37">
        <v>44440</v>
      </c>
      <c r="B35" s="38">
        <f>D35+F35+H35</f>
        <v>1052</v>
      </c>
      <c r="C35" s="39">
        <v>18547</v>
      </c>
      <c r="D35" s="40">
        <v>676</v>
      </c>
      <c r="E35" s="92">
        <v>4925</v>
      </c>
      <c r="F35" s="40">
        <v>233</v>
      </c>
      <c r="G35" s="92">
        <v>2672</v>
      </c>
      <c r="H35" s="63">
        <v>143</v>
      </c>
      <c r="I35" s="133">
        <v>10950</v>
      </c>
    </row>
    <row r="36" ht="24.95" customHeight="1" spans="1:9">
      <c r="A36" s="93">
        <v>44805</v>
      </c>
      <c r="B36" s="94">
        <v>1318</v>
      </c>
      <c r="C36" s="95">
        <v>15500</v>
      </c>
      <c r="D36" s="96">
        <v>967</v>
      </c>
      <c r="E36" s="97">
        <v>5590</v>
      </c>
      <c r="F36" s="98">
        <v>244</v>
      </c>
      <c r="G36" s="99">
        <v>1820</v>
      </c>
      <c r="H36" s="75">
        <v>107</v>
      </c>
      <c r="I36" s="134">
        <v>8090</v>
      </c>
    </row>
    <row r="37" ht="24.95" customHeight="1" spans="1:9">
      <c r="A37" s="64">
        <v>45170</v>
      </c>
      <c r="B37" s="52">
        <v>1676</v>
      </c>
      <c r="C37" s="53">
        <v>24926</v>
      </c>
      <c r="D37" s="54">
        <v>1368</v>
      </c>
      <c r="E37" s="79">
        <v>11031</v>
      </c>
      <c r="F37" s="54">
        <v>165</v>
      </c>
      <c r="G37" s="79">
        <v>1695</v>
      </c>
      <c r="H37" s="57">
        <v>143</v>
      </c>
      <c r="I37" s="132">
        <v>12200</v>
      </c>
    </row>
    <row r="38" ht="27.75" customHeight="1" spans="1:9">
      <c r="A38" s="100"/>
      <c r="B38" s="101"/>
      <c r="C38" s="102"/>
      <c r="D38" s="103"/>
      <c r="E38" s="104"/>
      <c r="F38" s="103"/>
      <c r="G38" s="105"/>
      <c r="H38" s="103"/>
      <c r="I38" s="105"/>
    </row>
    <row r="39" ht="24.95" customHeight="1" spans="1:9">
      <c r="A39" s="37">
        <v>44470</v>
      </c>
      <c r="B39" s="38">
        <f>D39+F39+H39</f>
        <v>1099</v>
      </c>
      <c r="C39" s="39">
        <v>18248</v>
      </c>
      <c r="D39" s="40">
        <v>715</v>
      </c>
      <c r="E39" s="106">
        <v>5121</v>
      </c>
      <c r="F39" s="40">
        <v>229</v>
      </c>
      <c r="G39" s="92">
        <v>1077</v>
      </c>
      <c r="H39" s="63">
        <v>155</v>
      </c>
      <c r="I39" s="135">
        <v>12050</v>
      </c>
    </row>
    <row r="40" ht="24.95" customHeight="1" spans="1:9">
      <c r="A40" s="64">
        <v>44835</v>
      </c>
      <c r="B40" s="45">
        <v>1425</v>
      </c>
      <c r="C40" s="46">
        <v>13345</v>
      </c>
      <c r="D40" s="47">
        <v>1022</v>
      </c>
      <c r="E40" s="107">
        <v>4465</v>
      </c>
      <c r="F40" s="47">
        <v>271</v>
      </c>
      <c r="G40" s="108">
        <v>270</v>
      </c>
      <c r="H40" s="50">
        <v>132</v>
      </c>
      <c r="I40" s="136">
        <v>8610</v>
      </c>
    </row>
    <row r="41" ht="24.95" customHeight="1" spans="1:9">
      <c r="A41" s="64">
        <v>45200</v>
      </c>
      <c r="B41" s="52">
        <v>1735</v>
      </c>
      <c r="C41" s="53">
        <v>27731</v>
      </c>
      <c r="D41" s="54">
        <v>1389</v>
      </c>
      <c r="E41" s="109">
        <v>15511</v>
      </c>
      <c r="F41" s="54">
        <v>204</v>
      </c>
      <c r="G41" s="110">
        <v>1125</v>
      </c>
      <c r="H41" s="57">
        <v>142</v>
      </c>
      <c r="I41" s="55">
        <v>11095</v>
      </c>
    </row>
    <row r="42" ht="32.25" customHeight="1" spans="1:8">
      <c r="A42" s="111"/>
      <c r="B42" s="112"/>
      <c r="C42" s="111"/>
      <c r="D42" s="111"/>
      <c r="F42" s="111"/>
      <c r="H42" s="111"/>
    </row>
    <row r="43" ht="24.95" customHeight="1" spans="1:9">
      <c r="A43" s="113">
        <v>44501</v>
      </c>
      <c r="B43" s="38">
        <v>983</v>
      </c>
      <c r="C43" s="39">
        <v>23215</v>
      </c>
      <c r="D43" s="114">
        <v>586</v>
      </c>
      <c r="E43" s="115">
        <v>13418</v>
      </c>
      <c r="F43" s="114">
        <v>213</v>
      </c>
      <c r="G43" s="116">
        <v>947</v>
      </c>
      <c r="H43" s="117">
        <v>184</v>
      </c>
      <c r="I43" s="137">
        <v>8850</v>
      </c>
    </row>
    <row r="44" ht="24.95" customHeight="1" spans="1:9">
      <c r="A44" s="118">
        <v>44866</v>
      </c>
      <c r="B44" s="71">
        <v>1340</v>
      </c>
      <c r="C44" s="72">
        <v>12280</v>
      </c>
      <c r="D44" s="119">
        <v>1008</v>
      </c>
      <c r="E44" s="120">
        <v>4340</v>
      </c>
      <c r="F44" s="119">
        <v>201</v>
      </c>
      <c r="G44" s="121">
        <v>525</v>
      </c>
      <c r="H44" s="122">
        <v>131</v>
      </c>
      <c r="I44" s="121">
        <v>7415</v>
      </c>
    </row>
    <row r="45" ht="24.95" customHeight="1" spans="1:9">
      <c r="A45" s="123">
        <v>45231</v>
      </c>
      <c r="B45" s="52">
        <v>1556</v>
      </c>
      <c r="C45" s="53">
        <v>21589</v>
      </c>
      <c r="D45" s="124">
        <v>1240</v>
      </c>
      <c r="E45" s="125">
        <v>11929</v>
      </c>
      <c r="F45" s="124">
        <v>187</v>
      </c>
      <c r="G45" s="126">
        <v>1045</v>
      </c>
      <c r="H45" s="124">
        <v>129</v>
      </c>
      <c r="I45" s="126">
        <v>8615</v>
      </c>
    </row>
    <row r="46" ht="29.25" customHeight="1"/>
    <row r="47" ht="24.95" customHeight="1" spans="1:9">
      <c r="A47" s="113">
        <v>44531</v>
      </c>
      <c r="B47" s="38">
        <v>907</v>
      </c>
      <c r="C47" s="39">
        <v>9197</v>
      </c>
      <c r="D47" s="114">
        <v>556</v>
      </c>
      <c r="E47" s="115">
        <v>3377</v>
      </c>
      <c r="F47" s="114">
        <v>255</v>
      </c>
      <c r="G47" s="116">
        <v>2030</v>
      </c>
      <c r="H47" s="117">
        <v>96</v>
      </c>
      <c r="I47" s="137">
        <v>3790</v>
      </c>
    </row>
    <row r="48" ht="24.95" customHeight="1" spans="1:9">
      <c r="A48" s="118">
        <v>44896</v>
      </c>
      <c r="B48" s="71">
        <v>1472</v>
      </c>
      <c r="C48" s="72">
        <v>13894</v>
      </c>
      <c r="D48" s="119">
        <v>911</v>
      </c>
      <c r="E48" s="120">
        <v>3700</v>
      </c>
      <c r="F48" s="119">
        <v>410</v>
      </c>
      <c r="G48" s="121">
        <v>2664</v>
      </c>
      <c r="H48" s="122">
        <v>151</v>
      </c>
      <c r="I48" s="121">
        <v>7530</v>
      </c>
    </row>
    <row r="49" ht="24.95" customHeight="1" spans="1:9">
      <c r="A49" s="123">
        <v>45261</v>
      </c>
      <c r="B49" s="52">
        <v>1594</v>
      </c>
      <c r="C49" s="53">
        <v>20942</v>
      </c>
      <c r="D49" s="124">
        <v>1252</v>
      </c>
      <c r="E49" s="125">
        <v>9584</v>
      </c>
      <c r="F49" s="124">
        <v>195</v>
      </c>
      <c r="G49" s="126">
        <v>1153</v>
      </c>
      <c r="H49" s="124">
        <v>145</v>
      </c>
      <c r="I49" s="126">
        <v>10205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paperSize="1" scale="52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F14" sqref="F14"/>
    </sheetView>
  </sheetViews>
  <sheetFormatPr defaultColWidth="9" defaultRowHeight="15" outlineLevelCol="6"/>
  <cols>
    <col min="1" max="1" width="17.4285714285714" customWidth="1"/>
    <col min="2" max="2" width="17.5714285714286" customWidth="1"/>
    <col min="3" max="3" width="16.7142857142857" customWidth="1"/>
    <col min="4" max="4" width="15" customWidth="1"/>
    <col min="5" max="5" width="15.2857142857143" customWidth="1"/>
    <col min="6" max="6" width="14.2857142857143" customWidth="1"/>
    <col min="7" max="7" width="14" customWidth="1"/>
  </cols>
  <sheetData>
    <row r="1" ht="45" customHeight="1" spans="1:7">
      <c r="A1" s="1"/>
      <c r="B1" s="2">
        <v>2021</v>
      </c>
      <c r="C1" s="3">
        <v>2022</v>
      </c>
      <c r="D1" s="4">
        <v>2023</v>
      </c>
      <c r="E1" s="5">
        <v>2021</v>
      </c>
      <c r="F1" s="6">
        <v>2022</v>
      </c>
      <c r="G1" s="7">
        <v>2023</v>
      </c>
    </row>
    <row r="2" ht="45" customHeight="1" spans="1:7">
      <c r="A2" s="8" t="s">
        <v>44</v>
      </c>
      <c r="B2" s="9" t="s">
        <v>10</v>
      </c>
      <c r="C2" s="10" t="s">
        <v>10</v>
      </c>
      <c r="D2" s="11" t="s">
        <v>10</v>
      </c>
      <c r="E2" s="12" t="s">
        <v>6</v>
      </c>
      <c r="F2" s="13"/>
      <c r="G2" s="14"/>
    </row>
    <row r="3" ht="50.1" customHeight="1" spans="1:7">
      <c r="A3" s="15" t="s">
        <v>45</v>
      </c>
      <c r="B3" s="16">
        <v>13619</v>
      </c>
      <c r="C3" s="17">
        <v>9215</v>
      </c>
      <c r="D3" s="16">
        <v>12902</v>
      </c>
      <c r="E3" s="18">
        <v>647</v>
      </c>
      <c r="F3" s="19">
        <v>17795</v>
      </c>
      <c r="G3" s="18">
        <v>1625</v>
      </c>
    </row>
    <row r="4" ht="50.1" customHeight="1" spans="1:7">
      <c r="A4" s="20" t="s">
        <v>14</v>
      </c>
      <c r="B4" s="21">
        <v>21450</v>
      </c>
      <c r="C4" s="22">
        <v>14504</v>
      </c>
      <c r="D4" s="21">
        <v>14415</v>
      </c>
      <c r="E4" s="23">
        <v>2031</v>
      </c>
      <c r="F4" s="24">
        <v>9450</v>
      </c>
      <c r="G4" s="23">
        <v>388</v>
      </c>
    </row>
    <row r="5" ht="50.1" customHeight="1" spans="1:7">
      <c r="A5" s="20" t="s">
        <v>30</v>
      </c>
      <c r="B5" s="21">
        <v>19669</v>
      </c>
      <c r="C5" s="22">
        <v>16206</v>
      </c>
      <c r="D5" s="21">
        <v>13475</v>
      </c>
      <c r="E5" s="23">
        <v>5295</v>
      </c>
      <c r="F5" s="24">
        <v>6267</v>
      </c>
      <c r="G5" s="23">
        <v>325</v>
      </c>
    </row>
    <row r="6" ht="50.1" customHeight="1" spans="1:7">
      <c r="A6" s="20" t="s">
        <v>31</v>
      </c>
      <c r="B6" s="21">
        <v>14503</v>
      </c>
      <c r="C6" s="22">
        <v>14905</v>
      </c>
      <c r="D6" s="21">
        <v>5110</v>
      </c>
      <c r="E6" s="23">
        <v>17358</v>
      </c>
      <c r="F6" s="24">
        <v>1983</v>
      </c>
      <c r="G6" s="23">
        <v>0</v>
      </c>
    </row>
    <row r="7" ht="50.1" customHeight="1" spans="1:7">
      <c r="A7" s="20" t="s">
        <v>17</v>
      </c>
      <c r="B7" s="21">
        <v>17887</v>
      </c>
      <c r="C7" s="22">
        <v>18018</v>
      </c>
      <c r="D7" s="21">
        <v>18880</v>
      </c>
      <c r="E7" s="23">
        <v>11640</v>
      </c>
      <c r="F7" s="24">
        <v>1109</v>
      </c>
      <c r="G7" s="23">
        <v>0</v>
      </c>
    </row>
    <row r="8" ht="50.1" customHeight="1" spans="1:7">
      <c r="A8" s="20" t="s">
        <v>46</v>
      </c>
      <c r="B8" s="21">
        <v>18370</v>
      </c>
      <c r="C8" s="22">
        <v>13830</v>
      </c>
      <c r="D8" s="21">
        <v>17356</v>
      </c>
      <c r="E8" s="23">
        <v>12600</v>
      </c>
      <c r="F8" s="24">
        <v>3632</v>
      </c>
      <c r="G8" s="23">
        <v>0</v>
      </c>
    </row>
    <row r="9" ht="50.1" customHeight="1" spans="1:7">
      <c r="A9" s="20" t="s">
        <v>47</v>
      </c>
      <c r="B9" s="21">
        <v>17333</v>
      </c>
      <c r="C9" s="22">
        <v>14305</v>
      </c>
      <c r="D9" s="21">
        <v>16120</v>
      </c>
      <c r="E9" s="23">
        <v>14575</v>
      </c>
      <c r="F9" s="24">
        <v>3696</v>
      </c>
      <c r="G9" s="23">
        <v>0</v>
      </c>
    </row>
    <row r="10" ht="50.1" customHeight="1" spans="1:7">
      <c r="A10" s="20" t="s">
        <v>20</v>
      </c>
      <c r="B10" s="21">
        <v>16249</v>
      </c>
      <c r="C10" s="22">
        <v>13095</v>
      </c>
      <c r="D10" s="21">
        <v>13290</v>
      </c>
      <c r="E10" s="23">
        <v>11975</v>
      </c>
      <c r="F10" s="24">
        <v>2068</v>
      </c>
      <c r="G10" s="23">
        <v>0</v>
      </c>
    </row>
    <row r="11" ht="50.1" customHeight="1" spans="1:7">
      <c r="A11" s="20" t="s">
        <v>21</v>
      </c>
      <c r="B11" s="21">
        <v>18547</v>
      </c>
      <c r="C11" s="22">
        <v>15500</v>
      </c>
      <c r="D11" s="21">
        <v>24926</v>
      </c>
      <c r="E11" s="23">
        <v>10215</v>
      </c>
      <c r="F11" s="24">
        <v>1621</v>
      </c>
      <c r="G11" s="23">
        <v>0</v>
      </c>
    </row>
    <row r="12" ht="50.1" customHeight="1" spans="1:7">
      <c r="A12" s="20" t="s">
        <v>22</v>
      </c>
      <c r="B12" s="21">
        <v>18248</v>
      </c>
      <c r="C12" s="22">
        <v>13345</v>
      </c>
      <c r="D12" s="21">
        <v>27731</v>
      </c>
      <c r="E12" s="23">
        <v>11585</v>
      </c>
      <c r="F12" s="24">
        <v>1111</v>
      </c>
      <c r="G12" s="23">
        <v>0</v>
      </c>
    </row>
    <row r="13" ht="50.1" customHeight="1" spans="1:7">
      <c r="A13" s="20" t="s">
        <v>23</v>
      </c>
      <c r="B13" s="21">
        <v>23215</v>
      </c>
      <c r="C13" s="22">
        <v>12280</v>
      </c>
      <c r="D13" s="21">
        <v>21589</v>
      </c>
      <c r="E13" s="23">
        <v>4530</v>
      </c>
      <c r="F13" s="24">
        <v>3168</v>
      </c>
      <c r="G13" s="23">
        <v>0</v>
      </c>
    </row>
    <row r="14" ht="50.1" customHeight="1" spans="1:7">
      <c r="A14" s="25" t="s">
        <v>24</v>
      </c>
      <c r="B14" s="26">
        <v>9197</v>
      </c>
      <c r="C14" s="27">
        <v>13894</v>
      </c>
      <c r="D14" s="26">
        <v>20942</v>
      </c>
      <c r="E14" s="28">
        <v>15230</v>
      </c>
      <c r="F14" s="29">
        <v>1085</v>
      </c>
      <c r="G14" s="28">
        <v>0</v>
      </c>
    </row>
    <row r="15" ht="24.95" customHeight="1"/>
    <row r="16" ht="24.95" customHeight="1"/>
    <row r="17" ht="24.95" customHeight="1"/>
    <row r="18" ht="24.95" customHeight="1"/>
    <row r="19" ht="24.95" customHeight="1"/>
    <row r="20" ht="24.95" customHeight="1"/>
    <row r="21" ht="24.95" customHeight="1"/>
    <row r="22" ht="24.95" customHeight="1"/>
    <row r="23" ht="24.95" customHeight="1"/>
    <row r="24" ht="24.95" customHeight="1"/>
    <row r="25" ht="24.95" customHeight="1"/>
    <row r="26" ht="24.95" customHeight="1"/>
    <row r="27" ht="24.95" customHeight="1"/>
    <row r="28" ht="24.95" customHeight="1"/>
  </sheetData>
  <mergeCells count="1">
    <mergeCell ref="E2:G2"/>
  </mergeCells>
  <pageMargins left="1.26" right="0.84" top="2.3" bottom="0.75" header="0.3" footer="0.3"/>
  <pageSetup paperSize="1" scale="7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TOTAL </vt:lpstr>
      <vt:lpstr>COMPARISON</vt:lpstr>
      <vt:lpstr>PATIENT COUNT YEAR WISE</vt:lpstr>
      <vt:lpstr>COMBINED</vt:lpstr>
      <vt:lpstr>FINAL </vt:lpstr>
      <vt:lpstr>DENTAL</vt:lpstr>
      <vt:lpstr>CASH COMPARISON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rajesh</cp:lastModifiedBy>
  <dcterms:created xsi:type="dcterms:W3CDTF">2022-05-10T09:23:00Z</dcterms:created>
  <cp:lastPrinted>2025-04-19T15:23:00Z</cp:lastPrinted>
  <dcterms:modified xsi:type="dcterms:W3CDTF">2025-06-23T09:58:36Z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437E3D64C2804F19A64B7815B34E9FE9_12</vt:lpwstr>
  </property>
  <property fmtid="{D5CDD505-2E9C-101B-9397-08002B2CF9AE}" pid="3" name="KSOProductBuildVer">
    <vt:lpwstr>1033-12.2.0.21546</vt:lpwstr>
  </property>
</Properties>
</file>